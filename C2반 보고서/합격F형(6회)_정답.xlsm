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2020년 작업(아카데미소프트)\2021년컴활교재(아카)작업\정답 파일\합격모의고사\"/>
    </mc:Choice>
  </mc:AlternateContent>
  <bookViews>
    <workbookView xWindow="-15" yWindow="45" windowWidth="12615" windowHeight="12750" tabRatio="992"/>
  </bookViews>
  <sheets>
    <sheet name="기본작업-1" sheetId="1" r:id="rId1"/>
    <sheet name="기본작업-2" sheetId="2" r:id="rId2"/>
    <sheet name="기본작업-3" sheetId="10" r:id="rId3"/>
    <sheet name="계산작업" sheetId="5" r:id="rId4"/>
    <sheet name="분석작업-1" sheetId="11" r:id="rId5"/>
    <sheet name="분석작업-2" sheetId="7" r:id="rId6"/>
    <sheet name="매크로작업" sheetId="8" r:id="rId7"/>
    <sheet name="차트작업" sheetId="9" r:id="rId8"/>
  </sheets>
  <definedNames>
    <definedName name="이익금합계">#REF!</definedName>
    <definedName name="환율">#REF!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D31" i="5" l="1"/>
  <c r="D32" i="5"/>
  <c r="D33" i="5"/>
  <c r="D34" i="5"/>
  <c r="D35" i="5"/>
  <c r="D36" i="5"/>
  <c r="D30" i="5"/>
  <c r="J4" i="5"/>
  <c r="J5" i="5"/>
  <c r="J6" i="5"/>
  <c r="J7" i="5"/>
  <c r="J8" i="5"/>
  <c r="J9" i="5"/>
  <c r="J3" i="5"/>
  <c r="F5" i="8" l="1"/>
  <c r="F6" i="8"/>
  <c r="F7" i="8"/>
  <c r="F4" i="8"/>
  <c r="E18" i="7" l="1"/>
  <c r="D18" i="7"/>
  <c r="E13" i="7"/>
  <c r="D13" i="7"/>
  <c r="E8" i="7"/>
  <c r="E20" i="7" s="1"/>
  <c r="D8" i="7"/>
  <c r="D20" i="7" s="1"/>
  <c r="E19" i="7"/>
  <c r="D19" i="7"/>
  <c r="E14" i="7"/>
  <c r="D14" i="7"/>
  <c r="E9" i="7"/>
  <c r="D9" i="7"/>
  <c r="D21" i="7" l="1"/>
  <c r="E21" i="7"/>
  <c r="D15" i="5"/>
  <c r="D16" i="5"/>
  <c r="D17" i="5"/>
  <c r="D18" i="5"/>
  <c r="D19" i="5"/>
  <c r="D20" i="5"/>
  <c r="D14" i="5"/>
  <c r="D4" i="5"/>
  <c r="D5" i="5"/>
  <c r="D6" i="5"/>
  <c r="D7" i="5"/>
  <c r="D8" i="5"/>
  <c r="D9" i="5"/>
  <c r="D3" i="5"/>
  <c r="J15" i="5" l="1"/>
  <c r="H23" i="5" s="1"/>
  <c r="J16" i="5"/>
  <c r="J17" i="5"/>
  <c r="J18" i="5"/>
  <c r="J19" i="5"/>
  <c r="J20" i="5"/>
  <c r="J14" i="5"/>
  <c r="C8" i="8" l="1"/>
  <c r="D8" i="8"/>
  <c r="E8" i="8"/>
  <c r="B8" i="8"/>
  <c r="F8" i="8" s="1"/>
  <c r="F6" i="10"/>
  <c r="F7" i="10"/>
  <c r="F8" i="10"/>
  <c r="F9" i="10"/>
  <c r="F10" i="10"/>
  <c r="F11" i="10"/>
  <c r="F12" i="10"/>
  <c r="F13" i="10"/>
  <c r="F14" i="10"/>
  <c r="F15" i="10"/>
  <c r="F5" i="10"/>
</calcChain>
</file>

<file path=xl/comments1.xml><?xml version="1.0" encoding="utf-8"?>
<comments xmlns="http://schemas.openxmlformats.org/spreadsheetml/2006/main">
  <authors>
    <author>Windows 사용자</author>
  </authors>
  <commentList>
    <comment ref="E8" authorId="0" shapeId="0">
      <text>
        <r>
          <rPr>
            <b/>
            <sz val="9"/>
            <color indexed="81"/>
            <rFont val="돋움"/>
            <family val="3"/>
            <charset val="129"/>
          </rPr>
          <t>원장상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</t>
        </r>
      </text>
    </comment>
  </commentList>
</comments>
</file>

<file path=xl/sharedStrings.xml><?xml version="1.0" encoding="utf-8"?>
<sst xmlns="http://schemas.openxmlformats.org/spreadsheetml/2006/main" count="321" uniqueCount="266">
  <si>
    <t>[표1]</t>
  </si>
  <si>
    <t>[표2]</t>
  </si>
  <si>
    <t>성명</t>
  </si>
  <si>
    <t>전형결과</t>
  </si>
  <si>
    <t>[표3]</t>
  </si>
  <si>
    <t>[표4]</t>
  </si>
  <si>
    <t>[표5]</t>
  </si>
  <si>
    <t>대한</t>
  </si>
  <si>
    <t>상공</t>
  </si>
  <si>
    <t>나라</t>
  </si>
  <si>
    <t>합계</t>
  </si>
  <si>
    <t>상장</t>
    <phoneticPr fontId="2" type="noConversion"/>
  </si>
  <si>
    <t>부문</t>
    <phoneticPr fontId="2" type="noConversion"/>
  </si>
  <si>
    <t>고등</t>
    <phoneticPr fontId="2" type="noConversion"/>
  </si>
  <si>
    <t>대학</t>
    <phoneticPr fontId="2" type="noConversion"/>
  </si>
  <si>
    <t>일반</t>
    <phoneticPr fontId="2" type="noConversion"/>
  </si>
  <si>
    <t>합계(명)</t>
    <phoneticPr fontId="2" type="noConversion"/>
  </si>
  <si>
    <t>부상</t>
    <phoneticPr fontId="2" type="noConversion"/>
  </si>
  <si>
    <t>환경부 장관상</t>
    <phoneticPr fontId="2" type="noConversion"/>
  </si>
  <si>
    <t>환경산업기술원 원장상</t>
    <phoneticPr fontId="2" type="noConversion"/>
  </si>
  <si>
    <t>주요배당주 펀드 성과</t>
    <phoneticPr fontId="2" type="noConversion"/>
  </si>
  <si>
    <t>펀드명</t>
    <phoneticPr fontId="2" type="noConversion"/>
  </si>
  <si>
    <t>배당률(%)</t>
    <phoneticPr fontId="2" type="noConversion"/>
  </si>
  <si>
    <t>3개월</t>
    <phoneticPr fontId="2" type="noConversion"/>
  </si>
  <si>
    <t>3년</t>
    <phoneticPr fontId="2" type="noConversion"/>
  </si>
  <si>
    <t>5년</t>
    <phoneticPr fontId="2" type="noConversion"/>
  </si>
  <si>
    <t>수익률(%)</t>
    <phoneticPr fontId="2" type="noConversion"/>
  </si>
  <si>
    <t>평균</t>
    <phoneticPr fontId="2" type="noConversion"/>
  </si>
  <si>
    <t>고배당C1</t>
    <phoneticPr fontId="2" type="noConversion"/>
  </si>
  <si>
    <t>HK고배당</t>
    <phoneticPr fontId="2" type="noConversion"/>
  </si>
  <si>
    <t>프라임배당A1</t>
    <phoneticPr fontId="2" type="noConversion"/>
  </si>
  <si>
    <t>고배당A2</t>
    <phoneticPr fontId="2" type="noConversion"/>
  </si>
  <si>
    <t>블루칩배당A1</t>
    <phoneticPr fontId="2" type="noConversion"/>
  </si>
  <si>
    <t>프런티어배당B1</t>
    <phoneticPr fontId="2" type="noConversion"/>
  </si>
  <si>
    <t>상공고배당A1</t>
    <phoneticPr fontId="2" type="noConversion"/>
  </si>
  <si>
    <t>대한UBS배당C1</t>
    <phoneticPr fontId="2" type="noConversion"/>
  </si>
  <si>
    <t>블루칩배당B2</t>
    <phoneticPr fontId="2" type="noConversion"/>
  </si>
  <si>
    <t>프라임배당C1</t>
    <phoneticPr fontId="2" type="noConversion"/>
  </si>
  <si>
    <t>프런티어배당A2</t>
    <phoneticPr fontId="2" type="noConversion"/>
  </si>
  <si>
    <t>연도</t>
    <phoneticPr fontId="2" type="noConversion"/>
  </si>
  <si>
    <t>40~60</t>
    <phoneticPr fontId="2" type="noConversion"/>
  </si>
  <si>
    <t>60~85</t>
    <phoneticPr fontId="2" type="noConversion"/>
  </si>
  <si>
    <t>85~135</t>
    <phoneticPr fontId="2" type="noConversion"/>
  </si>
  <si>
    <t>135초과</t>
    <phoneticPr fontId="2" type="noConversion"/>
  </si>
  <si>
    <t>합계</t>
    <phoneticPr fontId="2" type="noConversion"/>
  </si>
  <si>
    <t>주요 아파트 공급 예정 단지</t>
    <phoneticPr fontId="2" type="noConversion"/>
  </si>
  <si>
    <t>단지명</t>
    <phoneticPr fontId="2" type="noConversion"/>
  </si>
  <si>
    <t>업체명</t>
    <phoneticPr fontId="2" type="noConversion"/>
  </si>
  <si>
    <t>가구수</t>
    <phoneticPr fontId="2" type="noConversion"/>
  </si>
  <si>
    <t>전용면적</t>
    <phoneticPr fontId="2" type="noConversion"/>
  </si>
  <si>
    <t>대치청실</t>
    <phoneticPr fontId="2" type="noConversion"/>
  </si>
  <si>
    <t>도시형생활주택</t>
    <phoneticPr fontId="2" type="noConversion"/>
  </si>
  <si>
    <t>휴먼시아</t>
    <phoneticPr fontId="2" type="noConversion"/>
  </si>
  <si>
    <t>네이처빌</t>
    <phoneticPr fontId="2" type="noConversion"/>
  </si>
  <si>
    <t>강남힐즈</t>
    <phoneticPr fontId="2" type="noConversion"/>
  </si>
  <si>
    <t>푸른힐즈</t>
    <phoneticPr fontId="2" type="noConversion"/>
  </si>
  <si>
    <t>상공물산</t>
    <phoneticPr fontId="2" type="noConversion"/>
  </si>
  <si>
    <t>SH</t>
    <phoneticPr fontId="2" type="noConversion"/>
  </si>
  <si>
    <t>대한건설</t>
    <phoneticPr fontId="2" type="noConversion"/>
  </si>
  <si>
    <t>한국주택</t>
    <phoneticPr fontId="2" type="noConversion"/>
  </si>
  <si>
    <t>DH</t>
    <phoneticPr fontId="2" type="noConversion"/>
  </si>
  <si>
    <t>SK주택</t>
    <phoneticPr fontId="2" type="noConversion"/>
  </si>
  <si>
    <t>분양예정(월)</t>
    <phoneticPr fontId="2" type="noConversion"/>
  </si>
  <si>
    <t>지역</t>
    <phoneticPr fontId="2" type="noConversion"/>
  </si>
  <si>
    <t>경기</t>
    <phoneticPr fontId="2" type="noConversion"/>
  </si>
  <si>
    <t>서울</t>
    <phoneticPr fontId="2" type="noConversion"/>
  </si>
  <si>
    <t>상암</t>
    <phoneticPr fontId="2" type="noConversion"/>
  </si>
  <si>
    <t>수원</t>
    <phoneticPr fontId="2" type="noConversion"/>
  </si>
  <si>
    <t>수원</t>
    <phoneticPr fontId="2" type="noConversion"/>
  </si>
  <si>
    <t>시공사</t>
    <phoneticPr fontId="2" type="noConversion"/>
  </si>
  <si>
    <t>총가구수</t>
    <phoneticPr fontId="2" type="noConversion"/>
  </si>
  <si>
    <t>미분양수</t>
    <phoneticPr fontId="2" type="noConversion"/>
  </si>
  <si>
    <t>서울건설</t>
    <phoneticPr fontId="2" type="noConversion"/>
  </si>
  <si>
    <t>상공건설</t>
    <phoneticPr fontId="2" type="noConversion"/>
  </si>
  <si>
    <t>대한건설</t>
    <phoneticPr fontId="2" type="noConversion"/>
  </si>
  <si>
    <t>서울</t>
    <phoneticPr fontId="2" type="noConversion"/>
  </si>
  <si>
    <t>경기</t>
    <phoneticPr fontId="2" type="noConversion"/>
  </si>
  <si>
    <t>개봉</t>
    <phoneticPr fontId="2" type="noConversion"/>
  </si>
  <si>
    <t>남서울</t>
    <phoneticPr fontId="2" type="noConversion"/>
  </si>
  <si>
    <t>미래안</t>
    <phoneticPr fontId="2" type="noConversion"/>
  </si>
  <si>
    <t>전농</t>
    <phoneticPr fontId="2" type="noConversion"/>
  </si>
  <si>
    <t>퇴계원</t>
    <phoneticPr fontId="2" type="noConversion"/>
  </si>
  <si>
    <t>성남</t>
    <phoneticPr fontId="2" type="noConversion"/>
  </si>
  <si>
    <t>상도</t>
    <phoneticPr fontId="2" type="noConversion"/>
  </si>
  <si>
    <t>답십리</t>
    <phoneticPr fontId="2" type="noConversion"/>
  </si>
  <si>
    <t>장안</t>
    <phoneticPr fontId="2" type="noConversion"/>
  </si>
  <si>
    <t>시흥</t>
    <phoneticPr fontId="2" type="noConversion"/>
  </si>
  <si>
    <t>상수</t>
    <phoneticPr fontId="2" type="noConversion"/>
  </si>
  <si>
    <t>마포</t>
    <phoneticPr fontId="2" type="noConversion"/>
  </si>
  <si>
    <t>서울, 경기 미분양 아파트</t>
    <phoneticPr fontId="2" type="noConversion"/>
  </si>
  <si>
    <t>변액연금보험 수익률</t>
    <phoneticPr fontId="2" type="noConversion"/>
  </si>
  <si>
    <t>보험사</t>
    <phoneticPr fontId="2" type="noConversion"/>
  </si>
  <si>
    <t>상품명</t>
    <phoneticPr fontId="2" type="noConversion"/>
  </si>
  <si>
    <t>투자형태</t>
    <phoneticPr fontId="2" type="noConversion"/>
  </si>
  <si>
    <t>채권형</t>
    <phoneticPr fontId="2" type="noConversion"/>
  </si>
  <si>
    <t>주식형</t>
    <phoneticPr fontId="2" type="noConversion"/>
  </si>
  <si>
    <t>혼합형</t>
    <phoneticPr fontId="2" type="noConversion"/>
  </si>
  <si>
    <t>탑클래스</t>
    <phoneticPr fontId="2" type="noConversion"/>
  </si>
  <si>
    <t>행복플러스</t>
    <phoneticPr fontId="2" type="noConversion"/>
  </si>
  <si>
    <t>100세시대</t>
    <phoneticPr fontId="2" type="noConversion"/>
  </si>
  <si>
    <t>빅라이프</t>
    <phoneticPr fontId="2" type="noConversion"/>
  </si>
  <si>
    <t>라이프인베스트</t>
    <phoneticPr fontId="2" type="noConversion"/>
  </si>
  <si>
    <t>수호천사</t>
    <phoneticPr fontId="2" type="noConversion"/>
  </si>
  <si>
    <t>자자손손</t>
    <phoneticPr fontId="2" type="noConversion"/>
  </si>
  <si>
    <t>스텝업</t>
    <phoneticPr fontId="2" type="noConversion"/>
  </si>
  <si>
    <t>SDB변액</t>
    <phoneticPr fontId="2" type="noConversion"/>
  </si>
  <si>
    <t>파워밸런스</t>
    <phoneticPr fontId="2" type="noConversion"/>
  </si>
  <si>
    <t>상공생명</t>
    <phoneticPr fontId="2" type="noConversion"/>
  </si>
  <si>
    <t>서울생명</t>
    <phoneticPr fontId="2" type="noConversion"/>
  </si>
  <si>
    <t>새한생명</t>
    <phoneticPr fontId="2" type="noConversion"/>
  </si>
  <si>
    <t>대한생명</t>
    <phoneticPr fontId="2" type="noConversion"/>
  </si>
  <si>
    <t>사업비(%)</t>
    <phoneticPr fontId="2" type="noConversion"/>
  </si>
  <si>
    <t>수익률(%)</t>
    <phoneticPr fontId="2" type="noConversion"/>
  </si>
  <si>
    <t>학과</t>
    <phoneticPr fontId="2" type="noConversion"/>
  </si>
  <si>
    <t>학번</t>
    <phoneticPr fontId="2" type="noConversion"/>
  </si>
  <si>
    <t>K-103</t>
    <phoneticPr fontId="2" type="noConversion"/>
  </si>
  <si>
    <t>M-312</t>
    <phoneticPr fontId="2" type="noConversion"/>
  </si>
  <si>
    <t>S-114</t>
    <phoneticPr fontId="2" type="noConversion"/>
  </si>
  <si>
    <t>T-209</t>
    <phoneticPr fontId="2" type="noConversion"/>
  </si>
  <si>
    <t>M-227</t>
    <phoneticPr fontId="2" type="noConversion"/>
  </si>
  <si>
    <t>S-337</t>
    <phoneticPr fontId="2" type="noConversion"/>
  </si>
  <si>
    <t>T-123</t>
    <phoneticPr fontId="2" type="noConversion"/>
  </si>
  <si>
    <t>학년</t>
    <phoneticPr fontId="2" type="noConversion"/>
  </si>
  <si>
    <t>2학년</t>
    <phoneticPr fontId="2" type="noConversion"/>
  </si>
  <si>
    <t>1학년</t>
    <phoneticPr fontId="2" type="noConversion"/>
  </si>
  <si>
    <t>3학년</t>
    <phoneticPr fontId="2" type="noConversion"/>
  </si>
  <si>
    <t>3학년</t>
    <phoneticPr fontId="2" type="noConversion"/>
  </si>
  <si>
    <t>남대식</t>
    <phoneticPr fontId="2" type="noConversion"/>
  </si>
  <si>
    <t>김성두</t>
    <phoneticPr fontId="2" type="noConversion"/>
  </si>
  <si>
    <t>이효신</t>
    <phoneticPr fontId="2" type="noConversion"/>
  </si>
  <si>
    <t>노덕구</t>
    <phoneticPr fontId="2" type="noConversion"/>
  </si>
  <si>
    <t>홍기영</t>
    <phoneticPr fontId="2" type="noConversion"/>
  </si>
  <si>
    <t>양우식</t>
    <phoneticPr fontId="2" type="noConversion"/>
  </si>
  <si>
    <t>권대성</t>
    <phoneticPr fontId="2" type="noConversion"/>
  </si>
  <si>
    <t>접수번호</t>
    <phoneticPr fontId="2" type="noConversion"/>
  </si>
  <si>
    <t>연수성적</t>
    <phoneticPr fontId="2" type="noConversion"/>
  </si>
  <si>
    <t>결석</t>
    <phoneticPr fontId="2" type="noConversion"/>
  </si>
  <si>
    <t>HK-321</t>
    <phoneticPr fontId="2" type="noConversion"/>
  </si>
  <si>
    <t>HK-322</t>
  </si>
  <si>
    <t>HK-323</t>
  </si>
  <si>
    <t>HK-324</t>
  </si>
  <si>
    <t>HK-325</t>
  </si>
  <si>
    <t>HK-326</t>
  </si>
  <si>
    <t>HK-327</t>
  </si>
  <si>
    <t>면접점수</t>
    <phoneticPr fontId="2" type="noConversion"/>
  </si>
  <si>
    <t>상품명</t>
    <phoneticPr fontId="2" type="noConversion"/>
  </si>
  <si>
    <t>판매수량</t>
    <phoneticPr fontId="2" type="noConversion"/>
  </si>
  <si>
    <t>상품명</t>
    <phoneticPr fontId="2" type="noConversion"/>
  </si>
  <si>
    <t>판매단가</t>
    <phoneticPr fontId="2" type="noConversion"/>
  </si>
  <si>
    <t>모니터</t>
    <phoneticPr fontId="2" type="noConversion"/>
  </si>
  <si>
    <t>키보드</t>
    <phoneticPr fontId="2" type="noConversion"/>
  </si>
  <si>
    <t>마우스</t>
    <phoneticPr fontId="2" type="noConversion"/>
  </si>
  <si>
    <t>키보드</t>
    <phoneticPr fontId="2" type="noConversion"/>
  </si>
  <si>
    <t>할인금액</t>
    <phoneticPr fontId="2" type="noConversion"/>
  </si>
  <si>
    <t>매장명</t>
    <phoneticPr fontId="2" type="noConversion"/>
  </si>
  <si>
    <t>강동</t>
    <phoneticPr fontId="2" type="noConversion"/>
  </si>
  <si>
    <t>강서</t>
    <phoneticPr fontId="2" type="noConversion"/>
  </si>
  <si>
    <t>강남</t>
    <phoneticPr fontId="2" type="noConversion"/>
  </si>
  <si>
    <t>강북</t>
    <phoneticPr fontId="2" type="noConversion"/>
  </si>
  <si>
    <t>성동</t>
    <phoneticPr fontId="2" type="noConversion"/>
  </si>
  <si>
    <t>성북</t>
    <phoneticPr fontId="2" type="noConversion"/>
  </si>
  <si>
    <t>중앙</t>
    <phoneticPr fontId="2" type="noConversion"/>
  </si>
  <si>
    <t>총점</t>
    <phoneticPr fontId="2" type="noConversion"/>
  </si>
  <si>
    <t>금메달</t>
    <phoneticPr fontId="2" type="noConversion"/>
  </si>
  <si>
    <t>은메달</t>
    <phoneticPr fontId="2" type="noConversion"/>
  </si>
  <si>
    <t>동메달</t>
    <phoneticPr fontId="2" type="noConversion"/>
  </si>
  <si>
    <t>경기</t>
    <phoneticPr fontId="2" type="noConversion"/>
  </si>
  <si>
    <t>서울</t>
    <phoneticPr fontId="2" type="noConversion"/>
  </si>
  <si>
    <t>부산</t>
    <phoneticPr fontId="2" type="noConversion"/>
  </si>
  <si>
    <t>광주</t>
    <phoneticPr fontId="2" type="noConversion"/>
  </si>
  <si>
    <t>대전</t>
    <phoneticPr fontId="2" type="noConversion"/>
  </si>
  <si>
    <t>인천</t>
    <phoneticPr fontId="2" type="noConversion"/>
  </si>
  <si>
    <t>대구</t>
    <phoneticPr fontId="2" type="noConversion"/>
  </si>
  <si>
    <t>평가결과</t>
    <phoneticPr fontId="2" type="noConversion"/>
  </si>
  <si>
    <t>팀명</t>
    <phoneticPr fontId="2" type="noConversion"/>
  </si>
  <si>
    <t>승점</t>
    <phoneticPr fontId="2" type="noConversion"/>
  </si>
  <si>
    <t>감독명</t>
    <phoneticPr fontId="2" type="noConversion"/>
  </si>
  <si>
    <t>우리</t>
    <phoneticPr fontId="2" type="noConversion"/>
  </si>
  <si>
    <t>중앙</t>
    <phoneticPr fontId="2" type="noConversion"/>
  </si>
  <si>
    <t>으뜸</t>
    <phoneticPr fontId="2" type="noConversion"/>
  </si>
  <si>
    <t>우주</t>
    <phoneticPr fontId="2" type="noConversion"/>
  </si>
  <si>
    <t>강성재</t>
    <phoneticPr fontId="2" type="noConversion"/>
  </si>
  <si>
    <t>배승리</t>
    <phoneticPr fontId="2" type="noConversion"/>
  </si>
  <si>
    <t>차우승</t>
    <phoneticPr fontId="2" type="noConversion"/>
  </si>
  <si>
    <t>송나래</t>
    <phoneticPr fontId="2" type="noConversion"/>
  </si>
  <si>
    <t>장신수</t>
    <phoneticPr fontId="2" type="noConversion"/>
  </si>
  <si>
    <t>이기재</t>
    <phoneticPr fontId="2" type="noConversion"/>
  </si>
  <si>
    <t>김덕구</t>
    <phoneticPr fontId="2" type="noConversion"/>
  </si>
  <si>
    <t>상품별 판매단가 및 할인율</t>
    <phoneticPr fontId="2" type="noConversion"/>
  </si>
  <si>
    <t>할인율</t>
    <phoneticPr fontId="2" type="noConversion"/>
  </si>
  <si>
    <t>우수 성적 지역 수</t>
    <phoneticPr fontId="2" type="noConversion"/>
  </si>
  <si>
    <t>경영전문대학원 안내</t>
    <phoneticPr fontId="2" type="noConversion"/>
  </si>
  <si>
    <t>학교</t>
    <phoneticPr fontId="2" type="noConversion"/>
  </si>
  <si>
    <t>민국대</t>
    <phoneticPr fontId="2" type="noConversion"/>
  </si>
  <si>
    <t>신라대</t>
    <phoneticPr fontId="2" type="noConversion"/>
  </si>
  <si>
    <t>남강대</t>
    <phoneticPr fontId="2" type="noConversion"/>
  </si>
  <si>
    <t>한라대</t>
    <phoneticPr fontId="2" type="noConversion"/>
  </si>
  <si>
    <t>통일대</t>
    <phoneticPr fontId="2" type="noConversion"/>
  </si>
  <si>
    <t>성공대</t>
    <phoneticPr fontId="2" type="noConversion"/>
  </si>
  <si>
    <t>미래대</t>
    <phoneticPr fontId="2" type="noConversion"/>
  </si>
  <si>
    <t>과정</t>
    <phoneticPr fontId="2" type="noConversion"/>
  </si>
  <si>
    <t>Executive MBA</t>
    <phoneticPr fontId="2" type="noConversion"/>
  </si>
  <si>
    <t>Finance MBA</t>
    <phoneticPr fontId="2" type="noConversion"/>
  </si>
  <si>
    <t>Healthcare MBA</t>
    <phoneticPr fontId="2" type="noConversion"/>
  </si>
  <si>
    <t>CPA-MBA</t>
    <phoneticPr fontId="2" type="noConversion"/>
  </si>
  <si>
    <t>금융 MBA</t>
    <phoneticPr fontId="2" type="noConversion"/>
  </si>
  <si>
    <t>정보미디어 MBA</t>
    <phoneticPr fontId="2" type="noConversion"/>
  </si>
  <si>
    <t>YES MBA</t>
    <phoneticPr fontId="2" type="noConversion"/>
  </si>
  <si>
    <t>특징</t>
    <phoneticPr fontId="2" type="noConversion"/>
  </si>
  <si>
    <t>리더십과 전략</t>
    <phoneticPr fontId="2" type="noConversion"/>
  </si>
  <si>
    <t>투자운용</t>
    <phoneticPr fontId="2" type="noConversion"/>
  </si>
  <si>
    <t>의료경영 특화</t>
    <phoneticPr fontId="2" type="noConversion"/>
  </si>
  <si>
    <t>국제회계전문가 양성</t>
    <phoneticPr fontId="2" type="noConversion"/>
  </si>
  <si>
    <t>금융산업</t>
    <phoneticPr fontId="2" type="noConversion"/>
  </si>
  <si>
    <t>IT 미디어 산업</t>
    <phoneticPr fontId="2" type="noConversion"/>
  </si>
  <si>
    <t>차세대 경영자 양성</t>
    <phoneticPr fontId="2" type="noConversion"/>
  </si>
  <si>
    <t>모집인원</t>
    <phoneticPr fontId="2" type="noConversion"/>
  </si>
  <si>
    <t>시험일자</t>
    <phoneticPr fontId="2" type="noConversion"/>
  </si>
  <si>
    <t>12월 20일</t>
    <phoneticPr fontId="2" type="noConversion"/>
  </si>
  <si>
    <t>12월 15일</t>
    <phoneticPr fontId="2" type="noConversion"/>
  </si>
  <si>
    <t>11월 28일</t>
    <phoneticPr fontId="2" type="noConversion"/>
  </si>
  <si>
    <t>12월 17일</t>
    <phoneticPr fontId="2" type="noConversion"/>
  </si>
  <si>
    <t>11월 20일</t>
    <phoneticPr fontId="2" type="noConversion"/>
  </si>
  <si>
    <t>12월 27일</t>
    <phoneticPr fontId="2" type="noConversion"/>
  </si>
  <si>
    <t>12월 19일</t>
    <phoneticPr fontId="2" type="noConversion"/>
  </si>
  <si>
    <t>직통번호</t>
    <phoneticPr fontId="2" type="noConversion"/>
  </si>
  <si>
    <t>02) 556-8857</t>
    <phoneticPr fontId="2" type="noConversion"/>
  </si>
  <si>
    <t>02) 668-7474</t>
    <phoneticPr fontId="2" type="noConversion"/>
  </si>
  <si>
    <t>02) 779-8822</t>
    <phoneticPr fontId="2" type="noConversion"/>
  </si>
  <si>
    <t>031) 876-9050</t>
    <phoneticPr fontId="2" type="noConversion"/>
  </si>
  <si>
    <t>02) 568-6677</t>
    <phoneticPr fontId="2" type="noConversion"/>
  </si>
  <si>
    <t>031) 369-9999</t>
    <phoneticPr fontId="2" type="noConversion"/>
  </si>
  <si>
    <t>02) 787-5523</t>
    <phoneticPr fontId="2" type="noConversion"/>
  </si>
  <si>
    <t>담당자</t>
    <phoneticPr fontId="2" type="noConversion"/>
  </si>
  <si>
    <t>이수진</t>
    <phoneticPr fontId="2" type="noConversion"/>
  </si>
  <si>
    <t>유연선</t>
    <phoneticPr fontId="2" type="noConversion"/>
  </si>
  <si>
    <t>민정아</t>
    <phoneticPr fontId="2" type="noConversion"/>
  </si>
  <si>
    <t>김아름</t>
    <phoneticPr fontId="2" type="noConversion"/>
  </si>
  <si>
    <t>최은영</t>
    <phoneticPr fontId="2" type="noConversion"/>
  </si>
  <si>
    <t>박경화</t>
    <phoneticPr fontId="2" type="noConversion"/>
  </si>
  <si>
    <t>이미라</t>
    <phoneticPr fontId="2" type="noConversion"/>
  </si>
  <si>
    <t>'한국의 자연' 발간 25주년 기념 독후감 공모전</t>
    <phoneticPr fontId="2" type="noConversion"/>
  </si>
  <si>
    <t>한국녹색연맹 위원장상</t>
    <phoneticPr fontId="2" type="noConversion"/>
  </si>
  <si>
    <t>녹색신문 사장상</t>
    <phoneticPr fontId="2" type="noConversion"/>
  </si>
  <si>
    <t>[표] 크게 늘고 있는 중소형 주택 공급</t>
    <phoneticPr fontId="2" type="noConversion"/>
  </si>
  <si>
    <t>경기</t>
  </si>
  <si>
    <t>서울</t>
  </si>
  <si>
    <t>총합계</t>
  </si>
  <si>
    <t>대한건설</t>
  </si>
  <si>
    <t>상공건설</t>
  </si>
  <si>
    <t>서울건설</t>
  </si>
  <si>
    <t>합계 : 총가구수</t>
  </si>
  <si>
    <t>전체 합계 : 총가구수</t>
  </si>
  <si>
    <t>전체 합계 : 미분양수</t>
  </si>
  <si>
    <t>합계 : 미분양수</t>
  </si>
  <si>
    <t>시공사</t>
  </si>
  <si>
    <t>값</t>
  </si>
  <si>
    <t>지역</t>
  </si>
  <si>
    <t>주식형 평균</t>
  </si>
  <si>
    <t>채권형 평균</t>
  </si>
  <si>
    <t>혼합형 평균</t>
  </si>
  <si>
    <t>전체 평균</t>
  </si>
  <si>
    <t>주식형 최대값</t>
  </si>
  <si>
    <t>채권형 최대값</t>
  </si>
  <si>
    <t>혼합형 최대값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</si>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</sst>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0.0_ "/>
    <numFmt numFmtId="178" formatCode="0_ "/>
    <numFmt numFmtId="179" formatCode="_-* #,##0.00_-;\-* #,##0.00_-;_-* &quot;-&quot;_-;_-@_-"/>
    <numFmt numFmtId="180" formatCode="0&quot;만원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20"/>
      <color theme="1"/>
      <name val="궁서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rgb="FFFFFF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3" fillId="0" borderId="0"/>
    <xf numFmtId="0" fontId="10" fillId="3" borderId="0" applyNumberFormat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4" fillId="0" borderId="0" xfId="2" applyFont="1">
      <alignment vertical="center"/>
    </xf>
    <xf numFmtId="0" fontId="4" fillId="0" borderId="1" xfId="2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2" applyFont="1">
      <alignment vertical="center"/>
    </xf>
    <xf numFmtId="0" fontId="7" fillId="0" borderId="1" xfId="2" applyFont="1" applyBorder="1" applyAlignment="1">
      <alignment horizontal="center" vertical="center"/>
    </xf>
    <xf numFmtId="0" fontId="7" fillId="0" borderId="1" xfId="2" applyFont="1" applyFill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0" xfId="2" applyFont="1" applyAlignment="1">
      <alignment horizontal="right" vertical="center"/>
    </xf>
    <xf numFmtId="0" fontId="7" fillId="0" borderId="1" xfId="2" applyNumberFormat="1" applyFont="1" applyBorder="1" applyAlignment="1">
      <alignment horizontal="center" vertical="center"/>
    </xf>
    <xf numFmtId="0" fontId="7" fillId="2" borderId="1" xfId="2" applyNumberFormat="1" applyFont="1" applyFill="1" applyBorder="1" applyAlignment="1">
      <alignment horizontal="center" vertical="center"/>
    </xf>
    <xf numFmtId="41" fontId="7" fillId="0" borderId="1" xfId="3" applyFont="1" applyBorder="1" applyAlignment="1">
      <alignment horizontal="center" vertical="center"/>
    </xf>
    <xf numFmtId="41" fontId="7" fillId="0" borderId="1" xfId="2" applyNumberFormat="1" applyFont="1" applyBorder="1" applyAlignment="1">
      <alignment horizontal="center" vertical="center"/>
    </xf>
    <xf numFmtId="0" fontId="7" fillId="0" borderId="1" xfId="3" applyNumberFormat="1" applyFont="1" applyBorder="1" applyAlignment="1">
      <alignment horizontal="center" vertical="center"/>
    </xf>
    <xf numFmtId="0" fontId="7" fillId="0" borderId="0" xfId="2" applyNumberFormat="1" applyFont="1" applyBorder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7" fillId="0" borderId="1" xfId="2" applyFont="1" applyBorder="1" applyAlignment="1">
      <alignment horizontal="center"/>
    </xf>
    <xf numFmtId="0" fontId="7" fillId="0" borderId="1" xfId="2" applyFont="1" applyBorder="1" applyAlignment="1">
      <alignment horizontal="center" vertical="center" wrapText="1"/>
    </xf>
    <xf numFmtId="178" fontId="7" fillId="0" borderId="1" xfId="4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0" fontId="4" fillId="0" borderId="0" xfId="2" applyFont="1" applyAlignment="1">
      <alignment horizontal="right" vertical="center"/>
    </xf>
    <xf numFmtId="177" fontId="4" fillId="0" borderId="1" xfId="2" applyNumberFormat="1" applyFont="1" applyBorder="1" applyAlignment="1">
      <alignment horizontal="center" vertical="center"/>
    </xf>
    <xf numFmtId="0" fontId="4" fillId="0" borderId="1" xfId="2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41" fontId="0" fillId="0" borderId="0" xfId="1" applyFont="1">
      <alignment vertical="center"/>
    </xf>
    <xf numFmtId="0" fontId="7" fillId="0" borderId="1" xfId="2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77" fontId="7" fillId="0" borderId="1" xfId="2" applyNumberFormat="1" applyFont="1" applyBorder="1" applyAlignment="1">
      <alignment horizontal="center" vertical="center"/>
    </xf>
    <xf numFmtId="177" fontId="7" fillId="0" borderId="1" xfId="4" applyNumberFormat="1" applyFont="1" applyBorder="1" applyAlignment="1">
      <alignment horizontal="center" vertical="center"/>
    </xf>
    <xf numFmtId="177" fontId="7" fillId="0" borderId="1" xfId="2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3" xfId="1" applyFont="1" applyBorder="1" applyAlignment="1">
      <alignment horizontal="center" vertical="center"/>
    </xf>
    <xf numFmtId="178" fontId="4" fillId="0" borderId="1" xfId="3" applyNumberFormat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179" fontId="7" fillId="0" borderId="1" xfId="3" applyNumberFormat="1" applyFont="1" applyBorder="1" applyAlignment="1">
      <alignment horizontal="center"/>
    </xf>
    <xf numFmtId="41" fontId="7" fillId="0" borderId="1" xfId="3" applyNumberFormat="1" applyFont="1" applyBorder="1">
      <alignment vertical="center"/>
    </xf>
    <xf numFmtId="0" fontId="0" fillId="0" borderId="1" xfId="0" applyNumberFormat="1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41" fontId="7" fillId="0" borderId="1" xfId="3" applyNumberFormat="1" applyFont="1" applyBorder="1" applyAlignment="1">
      <alignment vertical="center"/>
    </xf>
    <xf numFmtId="0" fontId="7" fillId="0" borderId="1" xfId="2" applyNumberFormat="1" applyFont="1" applyFill="1" applyBorder="1" applyAlignment="1">
      <alignment horizontal="center" vertical="center"/>
    </xf>
    <xf numFmtId="41" fontId="7" fillId="0" borderId="1" xfId="2" applyNumberFormat="1" applyFont="1" applyBorder="1">
      <alignment vertical="center"/>
    </xf>
    <xf numFmtId="41" fontId="7" fillId="0" borderId="1" xfId="3" applyNumberFormat="1" applyFont="1" applyBorder="1" applyAlignment="1">
      <alignment horizontal="center"/>
    </xf>
    <xf numFmtId="41" fontId="0" fillId="0" borderId="1" xfId="0" applyNumberFormat="1" applyBorder="1" applyAlignment="1">
      <alignment horizontal="center" vertical="center"/>
    </xf>
    <xf numFmtId="179" fontId="7" fillId="0" borderId="1" xfId="3" applyNumberFormat="1" applyFont="1" applyBorder="1" applyAlignment="1">
      <alignment horizontal="center" vertical="center"/>
    </xf>
    <xf numFmtId="179" fontId="7" fillId="0" borderId="1" xfId="3" applyNumberFormat="1" applyFont="1" applyBorder="1">
      <alignment vertical="center"/>
    </xf>
    <xf numFmtId="0" fontId="7" fillId="2" borderId="1" xfId="2" applyFont="1" applyFill="1" applyBorder="1" applyAlignment="1">
      <alignment horizontal="center" vertical="center"/>
    </xf>
    <xf numFmtId="9" fontId="7" fillId="0" borderId="1" xfId="2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3" borderId="1" xfId="6" applyBorder="1" applyAlignment="1">
      <alignment horizontal="center" vertical="center"/>
    </xf>
    <xf numFmtId="180" fontId="4" fillId="0" borderId="1" xfId="2" applyNumberFormat="1" applyFont="1" applyBorder="1">
      <alignment vertical="center"/>
    </xf>
    <xf numFmtId="0" fontId="10" fillId="3" borderId="11" xfId="6" applyBorder="1" applyAlignment="1">
      <alignment horizontal="center" vertical="center"/>
    </xf>
    <xf numFmtId="0" fontId="4" fillId="0" borderId="10" xfId="5" applyFont="1" applyBorder="1" applyAlignment="1">
      <alignment horizontal="center"/>
    </xf>
    <xf numFmtId="180" fontId="4" fillId="0" borderId="11" xfId="2" applyNumberFormat="1" applyFont="1" applyFill="1" applyBorder="1">
      <alignment vertical="center"/>
    </xf>
    <xf numFmtId="0" fontId="4" fillId="0" borderId="10" xfId="5" applyNumberFormat="1" applyFont="1" applyBorder="1" applyAlignment="1">
      <alignment horizontal="center"/>
    </xf>
    <xf numFmtId="0" fontId="4" fillId="0" borderId="12" xfId="5" applyFont="1" applyBorder="1" applyAlignment="1">
      <alignment horizontal="center"/>
    </xf>
    <xf numFmtId="0" fontId="4" fillId="0" borderId="13" xfId="2" applyFont="1" applyBorder="1" applyAlignment="1">
      <alignment horizontal="center" vertical="center"/>
    </xf>
    <xf numFmtId="0" fontId="4" fillId="0" borderId="13" xfId="2" applyNumberFormat="1" applyFont="1" applyBorder="1" applyAlignment="1">
      <alignment horizontal="center" vertical="center"/>
    </xf>
    <xf numFmtId="180" fontId="4" fillId="0" borderId="13" xfId="2" applyNumberFormat="1" applyFont="1" applyBorder="1">
      <alignment vertical="center"/>
    </xf>
    <xf numFmtId="180" fontId="4" fillId="0" borderId="14" xfId="2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14" fillId="0" borderId="1" xfId="2" applyNumberFormat="1" applyFont="1" applyBorder="1" applyAlignment="1">
      <alignment horizontal="center" vertical="center"/>
    </xf>
    <xf numFmtId="179" fontId="7" fillId="0" borderId="0" xfId="3" applyNumberFormat="1" applyFont="1" applyBorder="1" applyAlignment="1">
      <alignment horizontal="center" vertical="center"/>
    </xf>
    <xf numFmtId="179" fontId="7" fillId="0" borderId="0" xfId="3" applyNumberFormat="1" applyFont="1" applyBorder="1">
      <alignment vertical="center"/>
    </xf>
    <xf numFmtId="0" fontId="14" fillId="0" borderId="0" xfId="2" applyNumberFormat="1" applyFont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 wrapText="1"/>
    </xf>
    <xf numFmtId="0" fontId="11" fillId="0" borderId="0" xfId="0" quotePrefix="1" applyFont="1" applyAlignment="1">
      <alignment horizontal="center" vertical="center"/>
    </xf>
    <xf numFmtId="0" fontId="10" fillId="3" borderId="8" xfId="6" applyBorder="1" applyAlignment="1">
      <alignment horizontal="center" vertical="center"/>
    </xf>
    <xf numFmtId="0" fontId="10" fillId="3" borderId="9" xfId="6" applyBorder="1" applyAlignment="1">
      <alignment horizontal="center" vertical="center"/>
    </xf>
    <xf numFmtId="0" fontId="10" fillId="3" borderId="1" xfId="6" applyBorder="1" applyAlignment="1">
      <alignment horizontal="center" vertical="center"/>
    </xf>
    <xf numFmtId="0" fontId="10" fillId="3" borderId="7" xfId="6" applyBorder="1" applyAlignment="1">
      <alignment horizontal="center" vertical="center"/>
    </xf>
    <xf numFmtId="0" fontId="10" fillId="3" borderId="10" xfId="6" applyBorder="1" applyAlignment="1">
      <alignment horizontal="center" vertical="center"/>
    </xf>
    <xf numFmtId="0" fontId="8" fillId="0" borderId="0" xfId="2" applyFont="1" applyAlignment="1">
      <alignment horizontal="center"/>
    </xf>
    <xf numFmtId="0" fontId="7" fillId="0" borderId="5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2" xfId="2" applyNumberFormat="1" applyFont="1" applyFill="1" applyBorder="1" applyAlignment="1">
      <alignment horizontal="center" vertical="center"/>
    </xf>
    <xf numFmtId="0" fontId="7" fillId="0" borderId="4" xfId="2" applyNumberFormat="1" applyFont="1" applyFill="1" applyBorder="1" applyAlignment="1">
      <alignment horizontal="center" vertical="center"/>
    </xf>
    <xf numFmtId="0" fontId="7" fillId="0" borderId="3" xfId="2" applyNumberFormat="1" applyFont="1" applyFill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176" fontId="7" fillId="0" borderId="1" xfId="3" applyNumberFormat="1" applyFont="1" applyBorder="1" applyAlignment="1">
      <alignment horizontal="center" vertical="center"/>
    </xf>
    <xf numFmtId="0" fontId="8" fillId="0" borderId="0" xfId="2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5" fillId="0" borderId="0" xfId="2" applyFont="1" applyAlignment="1">
      <alignment horizontal="center" vertical="center"/>
    </xf>
  </cellXfs>
  <cellStyles count="7">
    <cellStyle name="강조색5" xfId="6" builtinId="45"/>
    <cellStyle name="쉼표 [0]" xfId="1" builtinId="6"/>
    <cellStyle name="쉼표 [0] 2" xfId="3"/>
    <cellStyle name="통화 [0] 2" xfId="4"/>
    <cellStyle name="표준" xfId="0" builtinId="0"/>
    <cellStyle name="표준 2" xfId="2"/>
    <cellStyle name="표준_기본작업-1" xfId="5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주요 아파트 공급 예정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가구수</c:v>
                </c:pt>
              </c:strCache>
            </c:strRef>
          </c:tx>
          <c:invertIfNegative val="0"/>
          <c:dLbls>
            <c:dLbl>
              <c:idx val="3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FE97-434A-BD59-5D3F06CBAD2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(차트작업!$A$4,차트작업!$A$7:$A$9)</c:f>
              <c:strCache>
                <c:ptCount val="4"/>
                <c:pt idx="0">
                  <c:v>대치청실</c:v>
                </c:pt>
                <c:pt idx="1">
                  <c:v>네이처빌</c:v>
                </c:pt>
                <c:pt idx="2">
                  <c:v>강남힐즈</c:v>
                </c:pt>
                <c:pt idx="3">
                  <c:v>푸른힐즈</c:v>
                </c:pt>
              </c:strCache>
            </c:strRef>
          </c:cat>
          <c:val>
            <c:numRef>
              <c:f>(차트작업!$C$4,차트작업!$C$7:$C$9)</c:f>
              <c:numCache>
                <c:formatCode>0_ </c:formatCode>
                <c:ptCount val="4"/>
                <c:pt idx="0">
                  <c:v>1608</c:v>
                </c:pt>
                <c:pt idx="1">
                  <c:v>765</c:v>
                </c:pt>
                <c:pt idx="2">
                  <c:v>96</c:v>
                </c:pt>
                <c:pt idx="3">
                  <c:v>1020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97-434A-BD59-5D3F06CB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932928"/>
        <c:axId val="134066944"/>
      </c:barChart>
      <c:lineChart>
        <c:grouping val="standar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전용면적</c:v>
                </c:pt>
              </c:strCache>
            </c:strRef>
          </c:tx>
          <c:cat>
            <c:strRef>
              <c:f>(차트작업!$A$4,차트작업!$A$7:$A$9)</c:f>
              <c:strCache>
                <c:ptCount val="4"/>
                <c:pt idx="0">
                  <c:v>대치청실</c:v>
                </c:pt>
                <c:pt idx="1">
                  <c:v>네이처빌</c:v>
                </c:pt>
                <c:pt idx="2">
                  <c:v>강남힐즈</c:v>
                </c:pt>
                <c:pt idx="3">
                  <c:v>푸른힐즈</c:v>
                </c:pt>
              </c:strCache>
            </c:strRef>
          </c:cat>
          <c:val>
            <c:numRef>
              <c:f>(차트작업!$D$4,차트작업!$D$7:$D$9)</c:f>
              <c:numCache>
                <c:formatCode>General</c:formatCode>
                <c:ptCount val="4"/>
                <c:pt idx="0">
                  <c:v>59</c:v>
                </c:pt>
                <c:pt idx="1">
                  <c:v>101</c:v>
                </c:pt>
                <c:pt idx="2">
                  <c:v>92</c:v>
                </c:pt>
                <c:pt idx="3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97-434A-BD59-5D3F06CB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70272"/>
        <c:axId val="134068480"/>
      </c:lineChart>
      <c:catAx>
        <c:axId val="135932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066944"/>
        <c:crosses val="autoZero"/>
        <c:auto val="1"/>
        <c:lblAlgn val="ctr"/>
        <c:lblOffset val="100"/>
        <c:noMultiLvlLbl val="0"/>
      </c:catAx>
      <c:valAx>
        <c:axId val="134066944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135932928"/>
        <c:crosses val="autoZero"/>
        <c:crossBetween val="between"/>
      </c:valAx>
      <c:valAx>
        <c:axId val="134068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34070272"/>
        <c:crosses val="max"/>
        <c:crossBetween val="between"/>
      </c:valAx>
      <c:catAx>
        <c:axId val="13407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068480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  <c:txPr>
        <a:bodyPr/>
        <a:lstStyle/>
        <a:p>
          <a:pPr>
            <a:defRPr sz="1200" i="1">
              <a:latin typeface="돋움체" pitchFamily="49" charset="-127"/>
              <a:ea typeface="돋움체" pitchFamily="49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[0]!합계" textlink="">
      <xdr:nvSpPr>
        <xdr:cNvPr id="2" name="배지 1"/>
        <xdr:cNvSpPr/>
      </xdr:nvSpPr>
      <xdr:spPr>
        <a:xfrm>
          <a:off x="4889500" y="1158875"/>
          <a:ext cx="1365250" cy="41275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사용자" refreshedDate="43088.604559027779" createdVersion="4" refreshedVersion="4" minRefreshableVersion="3" recordCount="15">
  <cacheSource type="worksheet">
    <worksheetSource ref="A3:F18" sheet="분석작업-1"/>
  </cacheSource>
  <cacheFields count="6">
    <cacheField name="지역" numFmtId="0">
      <sharedItems count="2">
        <s v="서울"/>
        <s v="경기"/>
      </sharedItems>
    </cacheField>
    <cacheField name="단지명" numFmtId="0">
      <sharedItems/>
    </cacheField>
    <cacheField name="시공사" numFmtId="179">
      <sharedItems count="3">
        <s v="대한건설"/>
        <s v="서울건설"/>
        <s v="상공건설"/>
      </sharedItems>
    </cacheField>
    <cacheField name="총가구수" numFmtId="41">
      <sharedItems containsSemiMixedTypes="0" containsString="0" containsNumber="1" containsInteger="1" minValue="356" maxValue="3885"/>
    </cacheField>
    <cacheField name="미분양수" numFmtId="41">
      <sharedItems containsSemiMixedTypes="0" containsString="0" containsNumber="1" containsInteger="1" minValue="28" maxValue="652"/>
    </cacheField>
    <cacheField name="전용면적" numFmtId="41">
      <sharedItems containsSemiMixedTypes="0" containsString="0" containsNumber="1" containsInteger="1" minValue="84" maxValue="2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s v="개봉"/>
    <x v="0"/>
    <n v="978"/>
    <n v="123"/>
    <n v="119"/>
  </r>
  <r>
    <x v="0"/>
    <s v="남서울"/>
    <x v="1"/>
    <n v="1764"/>
    <n v="67"/>
    <n v="115"/>
  </r>
  <r>
    <x v="1"/>
    <s v="미래안"/>
    <x v="2"/>
    <n v="2652"/>
    <n v="145"/>
    <n v="140"/>
  </r>
  <r>
    <x v="0"/>
    <s v="전농"/>
    <x v="2"/>
    <n v="2397"/>
    <n v="257"/>
    <n v="121"/>
  </r>
  <r>
    <x v="1"/>
    <s v="퇴계원"/>
    <x v="1"/>
    <n v="1559"/>
    <n v="56"/>
    <n v="118"/>
  </r>
  <r>
    <x v="1"/>
    <s v="성남"/>
    <x v="0"/>
    <n v="959"/>
    <n v="78"/>
    <n v="147"/>
  </r>
  <r>
    <x v="0"/>
    <s v="상도"/>
    <x v="2"/>
    <n v="3885"/>
    <n v="652"/>
    <n v="145"/>
  </r>
  <r>
    <x v="0"/>
    <s v="답십리"/>
    <x v="2"/>
    <n v="1711"/>
    <n v="28"/>
    <n v="84"/>
  </r>
  <r>
    <x v="0"/>
    <s v="상암"/>
    <x v="1"/>
    <n v="1076"/>
    <n v="45"/>
    <n v="99"/>
  </r>
  <r>
    <x v="1"/>
    <s v="장안"/>
    <x v="1"/>
    <n v="356"/>
    <n v="37"/>
    <n v="120"/>
  </r>
  <r>
    <x v="1"/>
    <s v="수원"/>
    <x v="0"/>
    <n v="1330"/>
    <n v="128"/>
    <n v="115"/>
  </r>
  <r>
    <x v="0"/>
    <s v="시흥"/>
    <x v="1"/>
    <n v="927"/>
    <n v="66"/>
    <n v="127"/>
  </r>
  <r>
    <x v="0"/>
    <s v="상수"/>
    <x v="0"/>
    <n v="1880"/>
    <n v="78"/>
    <n v="126"/>
  </r>
  <r>
    <x v="1"/>
    <s v="수원"/>
    <x v="2"/>
    <n v="1381"/>
    <n v="131"/>
    <n v="114"/>
  </r>
  <r>
    <x v="0"/>
    <s v="마포"/>
    <x v="0"/>
    <n v="999"/>
    <n v="53"/>
    <n v="2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A22:I27" firstHeaderRow="1" firstDataRow="3" firstDataCol="1"/>
  <pivotFields count="6">
    <pivotField axis="axisRow" compact="0" showAll="0">
      <items count="3">
        <item x="1"/>
        <item x="0"/>
        <item t="default"/>
      </items>
    </pivotField>
    <pivotField compact="0" showAll="0"/>
    <pivotField axis="axisCol" compact="0" showAll="0">
      <items count="4">
        <item x="0"/>
        <item x="2"/>
        <item x="1"/>
        <item t="default"/>
      </items>
    </pivotField>
    <pivotField dataField="1" compact="0" numFmtId="41" showAll="0"/>
    <pivotField dataField="1" compact="0" numFmtId="41" showAll="0"/>
    <pivotField compact="0" numFmtId="41" showAll="0"/>
  </pivotFields>
  <rowFields count="1">
    <field x="0"/>
  </rowFields>
  <rowItems count="3">
    <i>
      <x/>
    </i>
    <i>
      <x v="1"/>
    </i>
    <i t="grand">
      <x/>
    </i>
  </rowItems>
  <colFields count="2">
    <field x="2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합계 : 총가구수" fld="3" baseField="0" baseItem="0"/>
    <dataField name="합계 : 미분양수" fld="4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tabSelected="1" zoomScaleNormal="100" workbookViewId="0"/>
  </sheetViews>
  <sheetFormatPr defaultRowHeight="16.5"/>
  <cols>
    <col min="1" max="1" width="8.875" customWidth="1"/>
    <col min="2" max="2" width="16.375" customWidth="1"/>
    <col min="3" max="3" width="19.75" customWidth="1"/>
    <col min="4" max="4" width="9.25" customWidth="1"/>
    <col min="5" max="5" width="10.875" bestFit="1" customWidth="1"/>
    <col min="6" max="6" width="13.875" bestFit="1" customWidth="1"/>
    <col min="7" max="7" width="8.375" customWidth="1"/>
  </cols>
  <sheetData>
    <row r="1" spans="1:7">
      <c r="A1" t="s">
        <v>191</v>
      </c>
    </row>
    <row r="3" spans="1:7">
      <c r="A3" t="s">
        <v>192</v>
      </c>
      <c r="B3" t="s">
        <v>200</v>
      </c>
      <c r="C3" t="s">
        <v>208</v>
      </c>
      <c r="D3" t="s">
        <v>216</v>
      </c>
      <c r="E3" t="s">
        <v>217</v>
      </c>
      <c r="F3" t="s">
        <v>225</v>
      </c>
      <c r="G3" t="s">
        <v>233</v>
      </c>
    </row>
    <row r="4" spans="1:7">
      <c r="A4" t="s">
        <v>193</v>
      </c>
      <c r="B4" t="s">
        <v>201</v>
      </c>
      <c r="C4" s="24" t="s">
        <v>209</v>
      </c>
      <c r="D4">
        <v>5</v>
      </c>
      <c r="E4" s="25" t="s">
        <v>218</v>
      </c>
      <c r="F4" t="s">
        <v>226</v>
      </c>
      <c r="G4" t="s">
        <v>234</v>
      </c>
    </row>
    <row r="5" spans="1:7">
      <c r="A5" t="s">
        <v>194</v>
      </c>
      <c r="B5" t="s">
        <v>202</v>
      </c>
      <c r="C5" s="24" t="s">
        <v>210</v>
      </c>
      <c r="D5">
        <v>7</v>
      </c>
      <c r="E5" s="25" t="s">
        <v>219</v>
      </c>
      <c r="F5" t="s">
        <v>227</v>
      </c>
      <c r="G5" t="s">
        <v>235</v>
      </c>
    </row>
    <row r="6" spans="1:7">
      <c r="A6" t="s">
        <v>196</v>
      </c>
      <c r="B6" t="s">
        <v>203</v>
      </c>
      <c r="C6" s="24" t="s">
        <v>211</v>
      </c>
      <c r="D6">
        <v>4</v>
      </c>
      <c r="E6" s="25" t="s">
        <v>220</v>
      </c>
      <c r="F6" t="s">
        <v>228</v>
      </c>
      <c r="G6" t="s">
        <v>236</v>
      </c>
    </row>
    <row r="7" spans="1:7">
      <c r="A7" t="s">
        <v>197</v>
      </c>
      <c r="B7" t="s">
        <v>204</v>
      </c>
      <c r="C7" s="24" t="s">
        <v>212</v>
      </c>
      <c r="D7">
        <v>10</v>
      </c>
      <c r="E7" s="25" t="s">
        <v>221</v>
      </c>
      <c r="F7" t="s">
        <v>229</v>
      </c>
      <c r="G7" t="s">
        <v>237</v>
      </c>
    </row>
    <row r="8" spans="1:7">
      <c r="A8" t="s">
        <v>198</v>
      </c>
      <c r="B8" t="s">
        <v>205</v>
      </c>
      <c r="C8" s="24" t="s">
        <v>213</v>
      </c>
      <c r="D8">
        <v>8</v>
      </c>
      <c r="E8" s="25" t="s">
        <v>222</v>
      </c>
      <c r="F8" t="s">
        <v>230</v>
      </c>
      <c r="G8" t="s">
        <v>238</v>
      </c>
    </row>
    <row r="9" spans="1:7">
      <c r="A9" t="s">
        <v>199</v>
      </c>
      <c r="B9" t="s">
        <v>206</v>
      </c>
      <c r="C9" s="24" t="s">
        <v>214</v>
      </c>
      <c r="D9">
        <v>6</v>
      </c>
      <c r="E9" s="25" t="s">
        <v>223</v>
      </c>
      <c r="F9" t="s">
        <v>231</v>
      </c>
      <c r="G9" t="s">
        <v>239</v>
      </c>
    </row>
    <row r="10" spans="1:7">
      <c r="A10" t="s">
        <v>195</v>
      </c>
      <c r="B10" t="s">
        <v>207</v>
      </c>
      <c r="C10" s="24" t="s">
        <v>215</v>
      </c>
      <c r="D10">
        <v>7</v>
      </c>
      <c r="E10" s="25" t="s">
        <v>224</v>
      </c>
      <c r="F10" t="s">
        <v>232</v>
      </c>
      <c r="G10" t="s">
        <v>240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8"/>
  <sheetViews>
    <sheetView zoomScaleNormal="100" workbookViewId="0">
      <selection activeCell="X32" sqref="X32"/>
    </sheetView>
  </sheetViews>
  <sheetFormatPr defaultRowHeight="16.5"/>
  <cols>
    <col min="1" max="1" width="24" customWidth="1"/>
    <col min="2" max="4" width="6.75" customWidth="1"/>
    <col min="5" max="5" width="8.875" customWidth="1"/>
    <col min="6" max="8" width="10.625" customWidth="1"/>
  </cols>
  <sheetData>
    <row r="1" spans="1:8" ht="25.5">
      <c r="A1" s="74" t="s">
        <v>241</v>
      </c>
      <c r="B1" s="74"/>
      <c r="C1" s="74"/>
      <c r="D1" s="74"/>
      <c r="E1" s="74"/>
      <c r="F1" s="74"/>
      <c r="G1" s="74"/>
      <c r="H1" s="74"/>
    </row>
    <row r="2" spans="1:8" ht="17.25" thickBot="1"/>
    <row r="3" spans="1:8">
      <c r="A3" s="78" t="s">
        <v>11</v>
      </c>
      <c r="B3" s="75" t="s">
        <v>12</v>
      </c>
      <c r="C3" s="75"/>
      <c r="D3" s="75"/>
      <c r="E3" s="75" t="s">
        <v>16</v>
      </c>
      <c r="F3" s="75" t="s">
        <v>17</v>
      </c>
      <c r="G3" s="75"/>
      <c r="H3" s="76"/>
    </row>
    <row r="4" spans="1:8">
      <c r="A4" s="79"/>
      <c r="B4" s="55" t="s">
        <v>13</v>
      </c>
      <c r="C4" s="55" t="s">
        <v>14</v>
      </c>
      <c r="D4" s="55" t="s">
        <v>15</v>
      </c>
      <c r="E4" s="77"/>
      <c r="F4" s="55" t="s">
        <v>13</v>
      </c>
      <c r="G4" s="55" t="s">
        <v>14</v>
      </c>
      <c r="H4" s="57" t="s">
        <v>15</v>
      </c>
    </row>
    <row r="5" spans="1:8">
      <c r="A5" s="58" t="s">
        <v>242</v>
      </c>
      <c r="B5" s="2">
        <v>1</v>
      </c>
      <c r="C5" s="2">
        <v>1</v>
      </c>
      <c r="D5" s="22">
        <v>1</v>
      </c>
      <c r="E5" s="22">
        <v>3</v>
      </c>
      <c r="F5" s="56">
        <v>40</v>
      </c>
      <c r="G5" s="56">
        <v>50</v>
      </c>
      <c r="H5" s="59">
        <v>50</v>
      </c>
    </row>
    <row r="6" spans="1:8">
      <c r="A6" s="58" t="s">
        <v>18</v>
      </c>
      <c r="B6" s="2">
        <v>1</v>
      </c>
      <c r="C6" s="2">
        <v>1</v>
      </c>
      <c r="D6" s="22">
        <v>1</v>
      </c>
      <c r="E6" s="22">
        <v>3</v>
      </c>
      <c r="F6" s="56">
        <v>40</v>
      </c>
      <c r="G6" s="56">
        <v>50</v>
      </c>
      <c r="H6" s="59">
        <v>50</v>
      </c>
    </row>
    <row r="7" spans="1:8">
      <c r="A7" s="60" t="s">
        <v>243</v>
      </c>
      <c r="B7" s="2">
        <v>1</v>
      </c>
      <c r="C7" s="2">
        <v>1</v>
      </c>
      <c r="D7" s="22">
        <v>1</v>
      </c>
      <c r="E7" s="22">
        <v>3</v>
      </c>
      <c r="F7" s="56">
        <v>40</v>
      </c>
      <c r="G7" s="56">
        <v>50</v>
      </c>
      <c r="H7" s="59">
        <v>50</v>
      </c>
    </row>
    <row r="8" spans="1:8" ht="17.25" thickBot="1">
      <c r="A8" s="61" t="s">
        <v>19</v>
      </c>
      <c r="B8" s="62">
        <v>2</v>
      </c>
      <c r="C8" s="62">
        <v>2</v>
      </c>
      <c r="D8" s="63">
        <v>2</v>
      </c>
      <c r="E8" s="63">
        <v>6</v>
      </c>
      <c r="F8" s="64">
        <v>20</v>
      </c>
      <c r="G8" s="64">
        <v>30</v>
      </c>
      <c r="H8" s="65">
        <v>30</v>
      </c>
    </row>
  </sheetData>
  <mergeCells count="5">
    <mergeCell ref="A1:H1"/>
    <mergeCell ref="F3:H3"/>
    <mergeCell ref="E3:E4"/>
    <mergeCell ref="B3:D3"/>
    <mergeCell ref="A3:A4"/>
  </mergeCells>
  <phoneticPr fontId="2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"/>
  <sheetViews>
    <sheetView zoomScaleNormal="100" workbookViewId="0">
      <selection activeCell="A5" sqref="A5:F15"/>
    </sheetView>
  </sheetViews>
  <sheetFormatPr defaultRowHeight="16.5"/>
  <cols>
    <col min="1" max="1" width="15.375" bestFit="1" customWidth="1"/>
    <col min="2" max="2" width="11.125" customWidth="1"/>
  </cols>
  <sheetData>
    <row r="1" spans="1:6" ht="26.25">
      <c r="A1" s="80" t="s">
        <v>20</v>
      </c>
      <c r="B1" s="80"/>
      <c r="C1" s="80"/>
      <c r="D1" s="80"/>
      <c r="E1" s="80"/>
      <c r="F1" s="80"/>
    </row>
    <row r="2" spans="1:6">
      <c r="A2" s="3"/>
      <c r="B2" s="3"/>
      <c r="C2" s="3"/>
      <c r="D2" s="3"/>
      <c r="E2" s="3"/>
      <c r="F2" s="3"/>
    </row>
    <row r="3" spans="1:6">
      <c r="A3" s="81" t="s">
        <v>21</v>
      </c>
      <c r="B3" s="81" t="s">
        <v>22</v>
      </c>
      <c r="C3" s="83" t="s">
        <v>26</v>
      </c>
      <c r="D3" s="84"/>
      <c r="E3" s="84"/>
      <c r="F3" s="85"/>
    </row>
    <row r="4" spans="1:6">
      <c r="A4" s="82"/>
      <c r="B4" s="82"/>
      <c r="C4" s="18" t="s">
        <v>23</v>
      </c>
      <c r="D4" s="18" t="s">
        <v>24</v>
      </c>
      <c r="E4" s="18" t="s">
        <v>25</v>
      </c>
      <c r="F4" s="19" t="s">
        <v>27</v>
      </c>
    </row>
    <row r="5" spans="1:6">
      <c r="A5" s="26" t="s">
        <v>28</v>
      </c>
      <c r="B5" s="27">
        <v>2.5</v>
      </c>
      <c r="C5" s="29">
        <v>13.5</v>
      </c>
      <c r="D5" s="29">
        <v>28</v>
      </c>
      <c r="E5" s="29">
        <v>23.1</v>
      </c>
      <c r="F5" s="28">
        <f>AVERAGE(C5:E5)</f>
        <v>21.533333333333331</v>
      </c>
    </row>
    <row r="6" spans="1:6">
      <c r="A6" s="26" t="s">
        <v>29</v>
      </c>
      <c r="B6" s="27">
        <v>3</v>
      </c>
      <c r="C6" s="29">
        <v>11.6</v>
      </c>
      <c r="D6" s="29">
        <v>14.2</v>
      </c>
      <c r="E6" s="29">
        <v>5.8</v>
      </c>
      <c r="F6" s="28">
        <f t="shared" ref="F6:F15" si="0">AVERAGE(C6:E6)</f>
        <v>10.533333333333333</v>
      </c>
    </row>
    <row r="7" spans="1:6">
      <c r="A7" s="26" t="s">
        <v>30</v>
      </c>
      <c r="B7" s="27">
        <v>2.8</v>
      </c>
      <c r="C7" s="29">
        <v>11.3</v>
      </c>
      <c r="D7" s="29">
        <v>17.3</v>
      </c>
      <c r="E7" s="29">
        <v>9.8000000000000007</v>
      </c>
      <c r="F7" s="28">
        <f t="shared" si="0"/>
        <v>12.800000000000002</v>
      </c>
    </row>
    <row r="8" spans="1:6">
      <c r="A8" s="17" t="s">
        <v>31</v>
      </c>
      <c r="B8" s="27">
        <v>2.8</v>
      </c>
      <c r="C8" s="29">
        <v>11.2</v>
      </c>
      <c r="D8" s="29">
        <v>17.899999999999999</v>
      </c>
      <c r="E8" s="29">
        <v>8.6999999999999993</v>
      </c>
      <c r="F8" s="28">
        <f t="shared" si="0"/>
        <v>12.6</v>
      </c>
    </row>
    <row r="9" spans="1:6">
      <c r="A9" s="26" t="s">
        <v>32</v>
      </c>
      <c r="B9" s="27">
        <v>1.2</v>
      </c>
      <c r="C9" s="29">
        <v>10.9</v>
      </c>
      <c r="D9" s="29">
        <v>17.5</v>
      </c>
      <c r="E9" s="29">
        <v>-4</v>
      </c>
      <c r="F9" s="28">
        <f t="shared" si="0"/>
        <v>8.1333333333333329</v>
      </c>
    </row>
    <row r="10" spans="1:6">
      <c r="A10" s="26" t="s">
        <v>33</v>
      </c>
      <c r="B10" s="27">
        <v>1.4</v>
      </c>
      <c r="C10" s="29">
        <v>11.7</v>
      </c>
      <c r="D10" s="29">
        <v>14.3</v>
      </c>
      <c r="E10" s="29">
        <v>10.199999999999999</v>
      </c>
      <c r="F10" s="28">
        <f t="shared" si="0"/>
        <v>12.066666666666668</v>
      </c>
    </row>
    <row r="11" spans="1:6">
      <c r="A11" s="26" t="s">
        <v>34</v>
      </c>
      <c r="B11" s="27">
        <v>2.8</v>
      </c>
      <c r="C11" s="29">
        <v>10.7</v>
      </c>
      <c r="D11" s="29">
        <v>22.9</v>
      </c>
      <c r="E11" s="29">
        <v>0.4</v>
      </c>
      <c r="F11" s="28">
        <f t="shared" si="0"/>
        <v>11.33333333333333</v>
      </c>
    </row>
    <row r="12" spans="1:6">
      <c r="A12" s="6" t="s">
        <v>35</v>
      </c>
      <c r="B12" s="28">
        <v>1.1000000000000001</v>
      </c>
      <c r="C12" s="29">
        <v>8.3000000000000007</v>
      </c>
      <c r="D12" s="29">
        <v>1.9</v>
      </c>
      <c r="E12" s="29">
        <v>-13.6</v>
      </c>
      <c r="F12" s="28">
        <f t="shared" si="0"/>
        <v>-1.1333333333333329</v>
      </c>
    </row>
    <row r="13" spans="1:6">
      <c r="A13" s="26" t="s">
        <v>36</v>
      </c>
      <c r="B13" s="28">
        <v>1</v>
      </c>
      <c r="C13" s="29">
        <v>9.6</v>
      </c>
      <c r="D13" s="29">
        <v>6.7</v>
      </c>
      <c r="E13" s="29">
        <v>-11.6</v>
      </c>
      <c r="F13" s="28">
        <f t="shared" si="0"/>
        <v>1.5666666666666671</v>
      </c>
    </row>
    <row r="14" spans="1:6">
      <c r="A14" s="32" t="s">
        <v>37</v>
      </c>
      <c r="B14" s="30">
        <v>1.1000000000000001</v>
      </c>
      <c r="C14" s="31">
        <v>10.5</v>
      </c>
      <c r="D14" s="31">
        <v>15.4</v>
      </c>
      <c r="E14" s="31">
        <v>-10.1</v>
      </c>
      <c r="F14" s="28">
        <f t="shared" si="0"/>
        <v>5.2666666666666666</v>
      </c>
    </row>
    <row r="15" spans="1:6">
      <c r="A15" s="32" t="s">
        <v>38</v>
      </c>
      <c r="B15" s="30">
        <v>2.8</v>
      </c>
      <c r="C15" s="31">
        <v>8.6</v>
      </c>
      <c r="D15" s="31">
        <v>5.5</v>
      </c>
      <c r="E15" s="31">
        <v>-11.5</v>
      </c>
      <c r="F15" s="28">
        <f t="shared" si="0"/>
        <v>0.86666666666666659</v>
      </c>
    </row>
  </sheetData>
  <mergeCells count="4">
    <mergeCell ref="A1:F1"/>
    <mergeCell ref="A3:A4"/>
    <mergeCell ref="B3:B4"/>
    <mergeCell ref="C3:F3"/>
  </mergeCells>
  <phoneticPr fontId="2" type="noConversion"/>
  <conditionalFormatting sqref="A5:F15">
    <cfRule type="expression" dxfId="0" priority="1">
      <formula>AND($B5&lt;=2,$F5&lt;=10)</formula>
    </cfRule>
  </conditionalFormatting>
  <pageMargins left="0.7" right="0.7" top="0.75" bottom="0.75" header="0.3" footer="0.3"/>
  <ignoredErrors>
    <ignoredError sqref="F5:F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6"/>
  <sheetViews>
    <sheetView workbookViewId="0">
      <selection activeCell="D3" sqref="D3"/>
    </sheetView>
  </sheetViews>
  <sheetFormatPr defaultRowHeight="16.5"/>
  <cols>
    <col min="1" max="1" width="9.625" customWidth="1"/>
    <col min="2" max="2" width="12.75" customWidth="1"/>
    <col min="3" max="3" width="14" customWidth="1"/>
    <col min="4" max="4" width="14.125" customWidth="1"/>
    <col min="6" max="10" width="10.375" customWidth="1"/>
  </cols>
  <sheetData>
    <row r="1" spans="1:10">
      <c r="A1" s="4" t="s">
        <v>0</v>
      </c>
      <c r="B1" s="4"/>
      <c r="C1" s="4"/>
      <c r="D1" s="4"/>
      <c r="E1" s="4"/>
      <c r="F1" s="4" t="s">
        <v>1</v>
      </c>
      <c r="G1" s="4"/>
      <c r="H1" s="4"/>
      <c r="I1" s="4"/>
      <c r="J1" s="4"/>
    </row>
    <row r="2" spans="1:10">
      <c r="A2" s="33" t="s">
        <v>114</v>
      </c>
      <c r="B2" s="6" t="s">
        <v>2</v>
      </c>
      <c r="C2" s="33" t="s">
        <v>122</v>
      </c>
      <c r="D2" s="37" t="s">
        <v>113</v>
      </c>
      <c r="E2" s="4"/>
      <c r="F2" s="6" t="s">
        <v>134</v>
      </c>
      <c r="G2" s="33" t="s">
        <v>135</v>
      </c>
      <c r="H2" s="33" t="s">
        <v>144</v>
      </c>
      <c r="I2" s="33" t="s">
        <v>136</v>
      </c>
      <c r="J2" s="7" t="s">
        <v>3</v>
      </c>
    </row>
    <row r="3" spans="1:10">
      <c r="A3" s="33" t="s">
        <v>115</v>
      </c>
      <c r="B3" s="6" t="s">
        <v>127</v>
      </c>
      <c r="C3" s="33" t="s">
        <v>123</v>
      </c>
      <c r="D3" s="33" t="str">
        <f>CHOOSE(MID(A3,3,1),"정보","상업","디자인")</f>
        <v>정보</v>
      </c>
      <c r="E3" s="4"/>
      <c r="F3" s="33" t="s">
        <v>137</v>
      </c>
      <c r="G3" s="5">
        <v>72</v>
      </c>
      <c r="H3" s="5">
        <v>75</v>
      </c>
      <c r="I3" s="5">
        <v>2</v>
      </c>
      <c r="J3" s="33" t="str">
        <f>IF(AND(SUM(G3:H3)&gt;=160,I3&lt;=3,OR(H3&gt;=75,I3=0)),"선발","")</f>
        <v/>
      </c>
    </row>
    <row r="4" spans="1:10">
      <c r="A4" s="33" t="s">
        <v>116</v>
      </c>
      <c r="B4" s="6" t="s">
        <v>128</v>
      </c>
      <c r="C4" s="33" t="s">
        <v>124</v>
      </c>
      <c r="D4" s="33" t="str">
        <f t="shared" ref="D4:D9" si="0">CHOOSE(MID(A4,3,1),"정보","상업","디자인")</f>
        <v>디자인</v>
      </c>
      <c r="E4" s="4"/>
      <c r="F4" s="33" t="s">
        <v>138</v>
      </c>
      <c r="G4" s="5">
        <v>85</v>
      </c>
      <c r="H4" s="5">
        <v>89</v>
      </c>
      <c r="I4" s="5">
        <v>0</v>
      </c>
      <c r="J4" s="33" t="str">
        <f t="shared" ref="J4:J9" si="1">IF(AND(SUM(G4:H4)&gt;=160,I4&lt;=3,OR(H4&gt;=75,I4=0)),"선발","")</f>
        <v>선발</v>
      </c>
    </row>
    <row r="5" spans="1:10">
      <c r="A5" s="33" t="s">
        <v>117</v>
      </c>
      <c r="B5" s="6" t="s">
        <v>129</v>
      </c>
      <c r="C5" s="33" t="s">
        <v>125</v>
      </c>
      <c r="D5" s="33" t="str">
        <f t="shared" si="0"/>
        <v>정보</v>
      </c>
      <c r="E5" s="4"/>
      <c r="F5" s="33" t="s">
        <v>139</v>
      </c>
      <c r="G5" s="5">
        <v>54</v>
      </c>
      <c r="H5" s="5">
        <v>94</v>
      </c>
      <c r="I5" s="5">
        <v>3</v>
      </c>
      <c r="J5" s="33" t="str">
        <f t="shared" si="1"/>
        <v/>
      </c>
    </row>
    <row r="6" spans="1:10">
      <c r="A6" s="33" t="s">
        <v>118</v>
      </c>
      <c r="B6" s="6" t="s">
        <v>130</v>
      </c>
      <c r="C6" s="33" t="s">
        <v>124</v>
      </c>
      <c r="D6" s="33" t="str">
        <f t="shared" si="0"/>
        <v>상업</v>
      </c>
      <c r="E6" s="4"/>
      <c r="F6" s="33" t="s">
        <v>140</v>
      </c>
      <c r="G6" s="5">
        <v>91</v>
      </c>
      <c r="H6" s="5">
        <v>85</v>
      </c>
      <c r="I6" s="5">
        <v>5</v>
      </c>
      <c r="J6" s="33" t="str">
        <f t="shared" si="1"/>
        <v/>
      </c>
    </row>
    <row r="7" spans="1:10">
      <c r="A7" s="33" t="s">
        <v>119</v>
      </c>
      <c r="B7" s="6" t="s">
        <v>131</v>
      </c>
      <c r="C7" s="33" t="s">
        <v>126</v>
      </c>
      <c r="D7" s="33" t="str">
        <f t="shared" si="0"/>
        <v>상업</v>
      </c>
      <c r="E7" s="4"/>
      <c r="F7" s="33" t="s">
        <v>141</v>
      </c>
      <c r="G7" s="5">
        <v>86</v>
      </c>
      <c r="H7" s="5">
        <v>84</v>
      </c>
      <c r="I7" s="5">
        <v>0</v>
      </c>
      <c r="J7" s="33" t="str">
        <f t="shared" si="1"/>
        <v>선발</v>
      </c>
    </row>
    <row r="8" spans="1:10">
      <c r="A8" s="33" t="s">
        <v>120</v>
      </c>
      <c r="B8" s="6" t="s">
        <v>132</v>
      </c>
      <c r="C8" s="33" t="s">
        <v>123</v>
      </c>
      <c r="D8" s="33" t="str">
        <f t="shared" si="0"/>
        <v>디자인</v>
      </c>
      <c r="E8" s="4"/>
      <c r="F8" s="33" t="s">
        <v>142</v>
      </c>
      <c r="G8" s="5">
        <v>94</v>
      </c>
      <c r="H8" s="5">
        <v>79</v>
      </c>
      <c r="I8" s="5">
        <v>4</v>
      </c>
      <c r="J8" s="33" t="str">
        <f t="shared" si="1"/>
        <v/>
      </c>
    </row>
    <row r="9" spans="1:10">
      <c r="A9" s="33" t="s">
        <v>121</v>
      </c>
      <c r="B9" s="6" t="s">
        <v>133</v>
      </c>
      <c r="C9" s="33" t="s">
        <v>124</v>
      </c>
      <c r="D9" s="33" t="str">
        <f t="shared" si="0"/>
        <v>정보</v>
      </c>
      <c r="E9" s="4"/>
      <c r="F9" s="33" t="s">
        <v>143</v>
      </c>
      <c r="G9" s="5">
        <v>95</v>
      </c>
      <c r="H9" s="5">
        <v>75</v>
      </c>
      <c r="I9" s="5">
        <v>2</v>
      </c>
      <c r="J9" s="33" t="str">
        <f t="shared" si="1"/>
        <v>선발</v>
      </c>
    </row>
    <row r="10" spans="1:10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4" t="s">
        <v>4</v>
      </c>
      <c r="B12" s="4"/>
      <c r="C12" s="4"/>
      <c r="D12" s="8"/>
      <c r="E12" s="4"/>
      <c r="F12" s="4" t="s">
        <v>5</v>
      </c>
      <c r="G12" s="4"/>
      <c r="H12" s="4"/>
      <c r="I12" s="4"/>
      <c r="J12" s="4"/>
    </row>
    <row r="13" spans="1:10">
      <c r="A13" s="9" t="s">
        <v>154</v>
      </c>
      <c r="B13" s="9" t="s">
        <v>147</v>
      </c>
      <c r="C13" s="9" t="s">
        <v>146</v>
      </c>
      <c r="D13" s="10" t="s">
        <v>153</v>
      </c>
      <c r="E13" s="4"/>
      <c r="F13" s="33" t="s">
        <v>63</v>
      </c>
      <c r="G13" s="33" t="s">
        <v>163</v>
      </c>
      <c r="H13" s="33" t="s">
        <v>164</v>
      </c>
      <c r="I13" s="33" t="s">
        <v>165</v>
      </c>
      <c r="J13" s="33" t="s">
        <v>162</v>
      </c>
    </row>
    <row r="14" spans="1:10">
      <c r="A14" s="9" t="s">
        <v>155</v>
      </c>
      <c r="B14" s="9" t="s">
        <v>150</v>
      </c>
      <c r="C14" s="11">
        <v>250</v>
      </c>
      <c r="D14" s="12">
        <f>C14*HLOOKUP(B14,$B$23:$D$25,2,0)*HLOOKUP(B14,$B$23:$D$25,3,0)</f>
        <v>375000</v>
      </c>
      <c r="E14" s="4"/>
      <c r="F14" s="9" t="s">
        <v>172</v>
      </c>
      <c r="G14" s="13">
        <v>13</v>
      </c>
      <c r="H14" s="13">
        <v>22</v>
      </c>
      <c r="I14" s="13">
        <v>15</v>
      </c>
      <c r="J14" s="33">
        <f>G14*3+H14*2+I14</f>
        <v>98</v>
      </c>
    </row>
    <row r="15" spans="1:10">
      <c r="A15" s="9" t="s">
        <v>156</v>
      </c>
      <c r="B15" s="9" t="s">
        <v>149</v>
      </c>
      <c r="C15" s="11">
        <v>310</v>
      </c>
      <c r="D15" s="12">
        <f t="shared" ref="D15:D20" si="2">C15*HLOOKUP(B15,$B$23:$D$25,2,0)*HLOOKUP(B15,$B$23:$D$25,3,0)</f>
        <v>8369999.9999999991</v>
      </c>
      <c r="E15" s="4"/>
      <c r="F15" s="9" t="s">
        <v>167</v>
      </c>
      <c r="G15" s="13">
        <v>32</v>
      </c>
      <c r="H15" s="13">
        <v>28</v>
      </c>
      <c r="I15" s="13">
        <v>34</v>
      </c>
      <c r="J15" s="33">
        <f t="shared" ref="J15:J20" si="3">G15*3+H15*2+I15</f>
        <v>186</v>
      </c>
    </row>
    <row r="16" spans="1:10">
      <c r="A16" s="9" t="s">
        <v>157</v>
      </c>
      <c r="B16" s="9" t="s">
        <v>150</v>
      </c>
      <c r="C16" s="11">
        <v>350</v>
      </c>
      <c r="D16" s="12">
        <f t="shared" si="2"/>
        <v>525000</v>
      </c>
      <c r="E16" s="4"/>
      <c r="F16" s="9" t="s">
        <v>168</v>
      </c>
      <c r="G16" s="13">
        <v>18</v>
      </c>
      <c r="H16" s="13">
        <v>32</v>
      </c>
      <c r="I16" s="13">
        <v>28</v>
      </c>
      <c r="J16" s="33">
        <f t="shared" si="3"/>
        <v>146</v>
      </c>
    </row>
    <row r="17" spans="1:10">
      <c r="A17" s="9" t="s">
        <v>158</v>
      </c>
      <c r="B17" s="9" t="s">
        <v>151</v>
      </c>
      <c r="C17" s="11">
        <v>1250</v>
      </c>
      <c r="D17" s="12">
        <f t="shared" si="2"/>
        <v>600000</v>
      </c>
      <c r="E17" s="4"/>
      <c r="F17" s="9" t="s">
        <v>169</v>
      </c>
      <c r="G17" s="13">
        <v>15</v>
      </c>
      <c r="H17" s="13">
        <v>35</v>
      </c>
      <c r="I17" s="13">
        <v>26</v>
      </c>
      <c r="J17" s="33">
        <f t="shared" si="3"/>
        <v>141</v>
      </c>
    </row>
    <row r="18" spans="1:10">
      <c r="A18" s="9" t="s">
        <v>159</v>
      </c>
      <c r="B18" s="9" t="s">
        <v>151</v>
      </c>
      <c r="C18" s="11">
        <v>1520</v>
      </c>
      <c r="D18" s="12">
        <f t="shared" si="2"/>
        <v>729600</v>
      </c>
      <c r="E18" s="4"/>
      <c r="F18" s="9" t="s">
        <v>170</v>
      </c>
      <c r="G18" s="13">
        <v>16</v>
      </c>
      <c r="H18" s="13">
        <v>27</v>
      </c>
      <c r="I18" s="13">
        <v>12</v>
      </c>
      <c r="J18" s="33">
        <f t="shared" si="3"/>
        <v>114</v>
      </c>
    </row>
    <row r="19" spans="1:10">
      <c r="A19" s="9" t="s">
        <v>160</v>
      </c>
      <c r="B19" s="9" t="s">
        <v>149</v>
      </c>
      <c r="C19" s="11">
        <v>450</v>
      </c>
      <c r="D19" s="12">
        <f t="shared" si="2"/>
        <v>12150000</v>
      </c>
      <c r="E19" s="4"/>
      <c r="F19" s="9" t="s">
        <v>171</v>
      </c>
      <c r="G19" s="13">
        <v>12</v>
      </c>
      <c r="H19" s="13">
        <v>22</v>
      </c>
      <c r="I19" s="13">
        <v>31</v>
      </c>
      <c r="J19" s="33">
        <f t="shared" si="3"/>
        <v>111</v>
      </c>
    </row>
    <row r="20" spans="1:10">
      <c r="A20" s="9" t="s">
        <v>161</v>
      </c>
      <c r="B20" s="9" t="s">
        <v>150</v>
      </c>
      <c r="C20" s="11">
        <v>750</v>
      </c>
      <c r="D20" s="12">
        <f t="shared" si="2"/>
        <v>1125000</v>
      </c>
      <c r="E20" s="4"/>
      <c r="F20" s="9" t="s">
        <v>166</v>
      </c>
      <c r="G20" s="13">
        <v>25</v>
      </c>
      <c r="H20" s="13">
        <v>39</v>
      </c>
      <c r="I20" s="13">
        <v>41</v>
      </c>
      <c r="J20" s="33">
        <f t="shared" si="3"/>
        <v>194</v>
      </c>
    </row>
    <row r="21" spans="1:10">
      <c r="A21" s="14"/>
      <c r="B21" s="14"/>
      <c r="C21" s="15"/>
      <c r="D21" s="14"/>
      <c r="E21" s="4"/>
      <c r="F21" s="4"/>
      <c r="G21" s="4"/>
      <c r="H21" s="4"/>
      <c r="I21" s="4"/>
      <c r="J21" s="3"/>
    </row>
    <row r="22" spans="1:10">
      <c r="A22" s="86" t="s">
        <v>188</v>
      </c>
      <c r="B22" s="87"/>
      <c r="C22" s="87"/>
      <c r="D22" s="88"/>
      <c r="E22" s="4"/>
      <c r="H22" s="89" t="s">
        <v>190</v>
      </c>
      <c r="I22" s="89"/>
      <c r="J22" s="89"/>
    </row>
    <row r="23" spans="1:10">
      <c r="A23" s="33" t="s">
        <v>145</v>
      </c>
      <c r="B23" s="33" t="s">
        <v>151</v>
      </c>
      <c r="C23" s="6" t="s">
        <v>152</v>
      </c>
      <c r="D23" s="6" t="s">
        <v>149</v>
      </c>
      <c r="E23" s="4"/>
      <c r="H23" s="90" t="str">
        <f>COUNTIFS(G14:G20,"&gt;=15", J14:J20,"&gt;=150")&amp;"개"</f>
        <v>2개</v>
      </c>
      <c r="I23" s="90"/>
      <c r="J23" s="90"/>
    </row>
    <row r="24" spans="1:10">
      <c r="A24" s="33" t="s">
        <v>189</v>
      </c>
      <c r="B24" s="52">
        <v>0.04</v>
      </c>
      <c r="C24" s="52">
        <v>0.06</v>
      </c>
      <c r="D24" s="52">
        <v>0.12</v>
      </c>
      <c r="E24" s="4"/>
      <c r="F24" s="4"/>
      <c r="G24" s="4"/>
      <c r="H24" s="4"/>
      <c r="I24" s="4"/>
      <c r="J24" s="3"/>
    </row>
    <row r="25" spans="1:10">
      <c r="A25" s="33" t="s">
        <v>148</v>
      </c>
      <c r="B25" s="53">
        <v>12000</v>
      </c>
      <c r="C25" s="53">
        <v>25000</v>
      </c>
      <c r="D25" s="53">
        <v>225000</v>
      </c>
      <c r="E25" s="4"/>
      <c r="F25" s="4"/>
      <c r="G25" s="4"/>
      <c r="H25" s="4"/>
      <c r="I25" s="4"/>
      <c r="J25" s="3"/>
    </row>
    <row r="26" spans="1:10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0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0">
      <c r="A28" s="4" t="s">
        <v>6</v>
      </c>
      <c r="B28" s="4"/>
      <c r="C28" s="4"/>
      <c r="D28" s="8"/>
      <c r="E28" s="4"/>
      <c r="F28" s="4"/>
      <c r="G28" s="4"/>
      <c r="H28" s="4"/>
      <c r="I28" s="4"/>
      <c r="J28" s="3"/>
    </row>
    <row r="29" spans="1:10">
      <c r="A29" s="33" t="s">
        <v>174</v>
      </c>
      <c r="B29" s="6" t="s">
        <v>176</v>
      </c>
      <c r="C29" s="6" t="s">
        <v>175</v>
      </c>
      <c r="D29" s="51" t="s">
        <v>173</v>
      </c>
      <c r="E29" s="4"/>
      <c r="F29" s="4"/>
      <c r="G29" s="4"/>
      <c r="H29" s="4"/>
      <c r="I29" s="4"/>
      <c r="J29" s="3"/>
    </row>
    <row r="30" spans="1:10">
      <c r="A30" s="5" t="s">
        <v>7</v>
      </c>
      <c r="B30" s="11" t="s">
        <v>181</v>
      </c>
      <c r="C30" s="13">
        <v>54</v>
      </c>
      <c r="D30" s="11" t="str">
        <f>IF(_xlfn.RANK.EQ(C30,$C$30:$C$36)&lt;=3,"1군승격","")</f>
        <v/>
      </c>
      <c r="E30" s="4"/>
      <c r="F30" s="4"/>
      <c r="G30" s="4"/>
      <c r="H30" s="4"/>
      <c r="I30" s="4"/>
      <c r="J30" s="3"/>
    </row>
    <row r="31" spans="1:10">
      <c r="A31" s="5" t="s">
        <v>8</v>
      </c>
      <c r="B31" s="11" t="s">
        <v>183</v>
      </c>
      <c r="C31" s="13">
        <v>57</v>
      </c>
      <c r="D31" s="11" t="str">
        <f t="shared" ref="D31:D36" si="4">IF(_xlfn.RANK.EQ(C31,$C$30:$C$36)&lt;=3,"1군승격","")</f>
        <v/>
      </c>
      <c r="E31" s="4"/>
      <c r="F31" s="4"/>
      <c r="G31" s="4"/>
      <c r="H31" s="4"/>
      <c r="I31" s="4"/>
      <c r="J31" s="3"/>
    </row>
    <row r="32" spans="1:10">
      <c r="A32" s="33" t="s">
        <v>177</v>
      </c>
      <c r="B32" s="11" t="s">
        <v>182</v>
      </c>
      <c r="C32" s="13">
        <v>85</v>
      </c>
      <c r="D32" s="11" t="str">
        <f t="shared" si="4"/>
        <v>1군승격</v>
      </c>
      <c r="E32" s="4"/>
      <c r="F32" s="4"/>
      <c r="G32" s="4"/>
      <c r="H32" s="4"/>
      <c r="I32" s="4"/>
      <c r="J32" s="3"/>
    </row>
    <row r="33" spans="1:10">
      <c r="A33" s="5" t="s">
        <v>9</v>
      </c>
      <c r="B33" s="11" t="s">
        <v>184</v>
      </c>
      <c r="C33" s="13">
        <v>65</v>
      </c>
      <c r="D33" s="11" t="str">
        <f t="shared" si="4"/>
        <v>1군승격</v>
      </c>
      <c r="E33" s="4"/>
      <c r="F33" s="4"/>
      <c r="G33" s="4"/>
      <c r="H33" s="4"/>
      <c r="I33" s="4"/>
      <c r="J33" s="3"/>
    </row>
    <row r="34" spans="1:10">
      <c r="A34" s="33" t="s">
        <v>178</v>
      </c>
      <c r="B34" s="11" t="s">
        <v>185</v>
      </c>
      <c r="C34" s="13">
        <v>47</v>
      </c>
      <c r="D34" s="11" t="str">
        <f t="shared" si="4"/>
        <v/>
      </c>
      <c r="E34" s="3"/>
      <c r="F34" s="3"/>
      <c r="G34" s="3"/>
      <c r="H34" s="3"/>
      <c r="I34" s="3"/>
      <c r="J34" s="3"/>
    </row>
    <row r="35" spans="1:10">
      <c r="A35" s="33" t="s">
        <v>179</v>
      </c>
      <c r="B35" s="11" t="s">
        <v>186</v>
      </c>
      <c r="C35" s="13">
        <v>58</v>
      </c>
      <c r="D35" s="11" t="str">
        <f t="shared" si="4"/>
        <v/>
      </c>
      <c r="E35" s="3"/>
      <c r="F35" s="3"/>
      <c r="G35" s="3"/>
      <c r="H35" s="3"/>
      <c r="I35" s="3"/>
      <c r="J35" s="3"/>
    </row>
    <row r="36" spans="1:10">
      <c r="A36" s="33" t="s">
        <v>180</v>
      </c>
      <c r="B36" s="11" t="s">
        <v>187</v>
      </c>
      <c r="C36" s="13">
        <v>75</v>
      </c>
      <c r="D36" s="11" t="str">
        <f t="shared" si="4"/>
        <v>1군승격</v>
      </c>
      <c r="E36" s="3"/>
      <c r="F36" s="3"/>
      <c r="G36" s="3"/>
      <c r="H36" s="3"/>
      <c r="I36" s="3"/>
      <c r="J36" s="3"/>
    </row>
  </sheetData>
  <mergeCells count="3">
    <mergeCell ref="A22:D22"/>
    <mergeCell ref="H22:J22"/>
    <mergeCell ref="H23:J23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7"/>
  <sheetViews>
    <sheetView zoomScaleNormal="100" workbookViewId="0">
      <selection sqref="A1:F1"/>
    </sheetView>
  </sheetViews>
  <sheetFormatPr defaultRowHeight="16.5"/>
  <cols>
    <col min="1" max="1" width="7.5" customWidth="1"/>
    <col min="2" max="6" width="15.25" customWidth="1"/>
    <col min="7" max="7" width="15.25" bestFit="1" customWidth="1"/>
    <col min="8" max="9" width="20.125" bestFit="1" customWidth="1"/>
  </cols>
  <sheetData>
    <row r="1" spans="1:6" s="54" customFormat="1" ht="26.25">
      <c r="A1" s="91" t="s">
        <v>89</v>
      </c>
      <c r="B1" s="91"/>
      <c r="C1" s="91"/>
      <c r="D1" s="91"/>
      <c r="E1" s="91"/>
      <c r="F1" s="91"/>
    </row>
    <row r="2" spans="1:6">
      <c r="A2" s="4"/>
      <c r="B2" s="4"/>
      <c r="C2" s="4"/>
      <c r="D2" s="4"/>
      <c r="E2" s="8"/>
      <c r="F2" s="4"/>
    </row>
    <row r="3" spans="1:6">
      <c r="A3" s="9" t="s">
        <v>63</v>
      </c>
      <c r="B3" s="9" t="s">
        <v>46</v>
      </c>
      <c r="C3" s="16" t="s">
        <v>69</v>
      </c>
      <c r="D3" s="16" t="s">
        <v>70</v>
      </c>
      <c r="E3" s="11" t="s">
        <v>71</v>
      </c>
      <c r="F3" s="33" t="s">
        <v>49</v>
      </c>
    </row>
    <row r="4" spans="1:6">
      <c r="A4" s="9" t="s">
        <v>75</v>
      </c>
      <c r="B4" s="13" t="s">
        <v>77</v>
      </c>
      <c r="C4" s="38" t="s">
        <v>58</v>
      </c>
      <c r="D4" s="47">
        <v>978</v>
      </c>
      <c r="E4" s="39">
        <v>123</v>
      </c>
      <c r="F4" s="39">
        <v>119</v>
      </c>
    </row>
    <row r="5" spans="1:6">
      <c r="A5" s="6" t="s">
        <v>75</v>
      </c>
      <c r="B5" s="40" t="s">
        <v>78</v>
      </c>
      <c r="C5" s="38" t="s">
        <v>72</v>
      </c>
      <c r="D5" s="47">
        <v>1764</v>
      </c>
      <c r="E5" s="41">
        <v>67</v>
      </c>
      <c r="F5" s="41">
        <v>115</v>
      </c>
    </row>
    <row r="6" spans="1:6">
      <c r="A6" s="33" t="s">
        <v>76</v>
      </c>
      <c r="B6" s="9" t="s">
        <v>79</v>
      </c>
      <c r="C6" s="38" t="s">
        <v>73</v>
      </c>
      <c r="D6" s="47">
        <v>2652</v>
      </c>
      <c r="E6" s="39">
        <v>145</v>
      </c>
      <c r="F6" s="46">
        <v>140</v>
      </c>
    </row>
    <row r="7" spans="1:6">
      <c r="A7" s="9" t="s">
        <v>75</v>
      </c>
      <c r="B7" s="13" t="s">
        <v>80</v>
      </c>
      <c r="C7" s="38" t="s">
        <v>73</v>
      </c>
      <c r="D7" s="47">
        <v>2397</v>
      </c>
      <c r="E7" s="39">
        <v>257</v>
      </c>
      <c r="F7" s="39">
        <v>121</v>
      </c>
    </row>
    <row r="8" spans="1:6">
      <c r="A8" s="9" t="s">
        <v>76</v>
      </c>
      <c r="B8" s="40" t="s">
        <v>81</v>
      </c>
      <c r="C8" s="42" t="s">
        <v>72</v>
      </c>
      <c r="D8" s="48">
        <v>1559</v>
      </c>
      <c r="E8" s="41">
        <v>56</v>
      </c>
      <c r="F8" s="41">
        <v>118</v>
      </c>
    </row>
    <row r="9" spans="1:6">
      <c r="A9" s="6" t="s">
        <v>76</v>
      </c>
      <c r="B9" s="13" t="s">
        <v>82</v>
      </c>
      <c r="C9" s="42" t="s">
        <v>74</v>
      </c>
      <c r="D9" s="48">
        <v>959</v>
      </c>
      <c r="E9" s="39">
        <v>78</v>
      </c>
      <c r="F9" s="39">
        <v>147</v>
      </c>
    </row>
    <row r="10" spans="1:6">
      <c r="A10" s="33" t="s">
        <v>75</v>
      </c>
      <c r="B10" s="43" t="s">
        <v>83</v>
      </c>
      <c r="C10" s="38" t="s">
        <v>73</v>
      </c>
      <c r="D10" s="47">
        <v>3885</v>
      </c>
      <c r="E10" s="41">
        <v>652</v>
      </c>
      <c r="F10" s="41">
        <v>145</v>
      </c>
    </row>
    <row r="11" spans="1:6">
      <c r="A11" s="9" t="s">
        <v>65</v>
      </c>
      <c r="B11" s="13" t="s">
        <v>84</v>
      </c>
      <c r="C11" s="38" t="s">
        <v>73</v>
      </c>
      <c r="D11" s="47">
        <v>1711</v>
      </c>
      <c r="E11" s="39">
        <v>28</v>
      </c>
      <c r="F11" s="39">
        <v>84</v>
      </c>
    </row>
    <row r="12" spans="1:6">
      <c r="A12" s="9" t="s">
        <v>65</v>
      </c>
      <c r="B12" s="43" t="s">
        <v>66</v>
      </c>
      <c r="C12" s="42" t="s">
        <v>72</v>
      </c>
      <c r="D12" s="48">
        <v>1076</v>
      </c>
      <c r="E12" s="41">
        <v>45</v>
      </c>
      <c r="F12" s="41">
        <v>99</v>
      </c>
    </row>
    <row r="13" spans="1:6">
      <c r="A13" s="9" t="s">
        <v>76</v>
      </c>
      <c r="B13" s="13" t="s">
        <v>85</v>
      </c>
      <c r="C13" s="38" t="s">
        <v>72</v>
      </c>
      <c r="D13" s="47">
        <v>356</v>
      </c>
      <c r="E13" s="39">
        <v>37</v>
      </c>
      <c r="F13" s="39">
        <v>120</v>
      </c>
    </row>
    <row r="14" spans="1:6">
      <c r="A14" s="33" t="s">
        <v>64</v>
      </c>
      <c r="B14" s="9" t="s">
        <v>68</v>
      </c>
      <c r="C14" s="42" t="s">
        <v>58</v>
      </c>
      <c r="D14" s="48">
        <v>1330</v>
      </c>
      <c r="E14" s="44">
        <v>128</v>
      </c>
      <c r="F14" s="44">
        <v>115</v>
      </c>
    </row>
    <row r="15" spans="1:6">
      <c r="A15" s="6" t="s">
        <v>75</v>
      </c>
      <c r="B15" s="40" t="s">
        <v>86</v>
      </c>
      <c r="C15" s="38" t="s">
        <v>72</v>
      </c>
      <c r="D15" s="47">
        <v>927</v>
      </c>
      <c r="E15" s="41">
        <v>66</v>
      </c>
      <c r="F15" s="41">
        <v>127</v>
      </c>
    </row>
    <row r="16" spans="1:6">
      <c r="A16" s="33" t="s">
        <v>75</v>
      </c>
      <c r="B16" s="40" t="s">
        <v>87</v>
      </c>
      <c r="C16" s="38" t="s">
        <v>58</v>
      </c>
      <c r="D16" s="47">
        <v>1880</v>
      </c>
      <c r="E16" s="41">
        <v>78</v>
      </c>
      <c r="F16" s="41">
        <v>126</v>
      </c>
    </row>
    <row r="17" spans="1:9">
      <c r="A17" s="33" t="s">
        <v>64</v>
      </c>
      <c r="B17" s="45" t="s">
        <v>67</v>
      </c>
      <c r="C17" s="38" t="s">
        <v>73</v>
      </c>
      <c r="D17" s="47">
        <v>1381</v>
      </c>
      <c r="E17" s="46">
        <v>131</v>
      </c>
      <c r="F17" s="46">
        <v>114</v>
      </c>
    </row>
    <row r="18" spans="1:9">
      <c r="A18" s="9" t="s">
        <v>75</v>
      </c>
      <c r="B18" s="13" t="s">
        <v>88</v>
      </c>
      <c r="C18" s="42" t="s">
        <v>58</v>
      </c>
      <c r="D18" s="48">
        <v>999</v>
      </c>
      <c r="E18" s="39">
        <v>53</v>
      </c>
      <c r="F18" s="39">
        <v>210</v>
      </c>
    </row>
    <row r="22" spans="1:9">
      <c r="B22" s="66" t="s">
        <v>255</v>
      </c>
      <c r="C22" s="66" t="s">
        <v>256</v>
      </c>
    </row>
    <row r="23" spans="1:9">
      <c r="B23" t="s">
        <v>248</v>
      </c>
      <c r="D23" t="s">
        <v>249</v>
      </c>
      <c r="F23" t="s">
        <v>250</v>
      </c>
      <c r="H23" t="s">
        <v>252</v>
      </c>
      <c r="I23" t="s">
        <v>253</v>
      </c>
    </row>
    <row r="24" spans="1:9">
      <c r="A24" s="66" t="s">
        <v>257</v>
      </c>
      <c r="B24" t="s">
        <v>251</v>
      </c>
      <c r="C24" t="s">
        <v>254</v>
      </c>
      <c r="D24" t="s">
        <v>251</v>
      </c>
      <c r="E24" t="s">
        <v>254</v>
      </c>
      <c r="F24" t="s">
        <v>251</v>
      </c>
      <c r="G24" t="s">
        <v>254</v>
      </c>
    </row>
    <row r="25" spans="1:9">
      <c r="A25" t="s">
        <v>245</v>
      </c>
      <c r="B25" s="67">
        <v>2289</v>
      </c>
      <c r="C25" s="67">
        <v>206</v>
      </c>
      <c r="D25" s="67">
        <v>4033</v>
      </c>
      <c r="E25" s="67">
        <v>276</v>
      </c>
      <c r="F25" s="67">
        <v>1915</v>
      </c>
      <c r="G25" s="67">
        <v>93</v>
      </c>
      <c r="H25" s="67">
        <v>8237</v>
      </c>
      <c r="I25" s="67">
        <v>575</v>
      </c>
    </row>
    <row r="26" spans="1:9">
      <c r="A26" t="s">
        <v>246</v>
      </c>
      <c r="B26" s="67">
        <v>3857</v>
      </c>
      <c r="C26" s="67">
        <v>254</v>
      </c>
      <c r="D26" s="67">
        <v>7993</v>
      </c>
      <c r="E26" s="67">
        <v>937</v>
      </c>
      <c r="F26" s="67">
        <v>3767</v>
      </c>
      <c r="G26" s="67">
        <v>178</v>
      </c>
      <c r="H26" s="67">
        <v>15617</v>
      </c>
      <c r="I26" s="67">
        <v>1369</v>
      </c>
    </row>
    <row r="27" spans="1:9">
      <c r="A27" t="s">
        <v>247</v>
      </c>
      <c r="B27" s="67">
        <v>6146</v>
      </c>
      <c r="C27" s="67">
        <v>460</v>
      </c>
      <c r="D27" s="67">
        <v>12026</v>
      </c>
      <c r="E27" s="67">
        <v>1213</v>
      </c>
      <c r="F27" s="67">
        <v>5682</v>
      </c>
      <c r="G27" s="67">
        <v>271</v>
      </c>
      <c r="H27" s="67">
        <v>23854</v>
      </c>
      <c r="I27" s="67">
        <v>1944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4294967293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2"/>
  <sheetViews>
    <sheetView zoomScaleNormal="100" workbookViewId="0">
      <selection sqref="A1:E1"/>
    </sheetView>
  </sheetViews>
  <sheetFormatPr defaultRowHeight="16.5" outlineLevelRow="3"/>
  <cols>
    <col min="1" max="1" width="13" customWidth="1"/>
    <col min="2" max="2" width="17" customWidth="1"/>
    <col min="3" max="3" width="12.625" customWidth="1"/>
    <col min="4" max="5" width="9.5" customWidth="1"/>
  </cols>
  <sheetData>
    <row r="1" spans="1:5" ht="26.25">
      <c r="A1" s="92" t="s">
        <v>90</v>
      </c>
      <c r="B1" s="92"/>
      <c r="C1" s="92"/>
      <c r="D1" s="92"/>
      <c r="E1" s="92"/>
    </row>
    <row r="2" spans="1:5">
      <c r="A2" s="3"/>
      <c r="B2" s="3"/>
      <c r="C2" s="3"/>
      <c r="D2" s="3"/>
      <c r="E2" s="3"/>
    </row>
    <row r="3" spans="1:5">
      <c r="A3" s="9" t="s">
        <v>91</v>
      </c>
      <c r="B3" s="9" t="s">
        <v>92</v>
      </c>
      <c r="C3" s="9" t="s">
        <v>93</v>
      </c>
      <c r="D3" s="33" t="s">
        <v>111</v>
      </c>
      <c r="E3" s="33" t="s">
        <v>112</v>
      </c>
    </row>
    <row r="4" spans="1:5" outlineLevel="3">
      <c r="A4" s="9" t="s">
        <v>108</v>
      </c>
      <c r="B4" s="9" t="s">
        <v>98</v>
      </c>
      <c r="C4" s="9" t="s">
        <v>95</v>
      </c>
      <c r="D4" s="49">
        <v>9.2799999999999994</v>
      </c>
      <c r="E4" s="50">
        <v>6.31</v>
      </c>
    </row>
    <row r="5" spans="1:5" outlineLevel="3">
      <c r="A5" s="9" t="s">
        <v>109</v>
      </c>
      <c r="B5" s="9" t="s">
        <v>100</v>
      </c>
      <c r="C5" s="9" t="s">
        <v>95</v>
      </c>
      <c r="D5" s="49">
        <v>9.39</v>
      </c>
      <c r="E5" s="50">
        <v>6.28</v>
      </c>
    </row>
    <row r="6" spans="1:5" outlineLevel="3">
      <c r="A6" s="9" t="s">
        <v>110</v>
      </c>
      <c r="B6" s="9" t="s">
        <v>101</v>
      </c>
      <c r="C6" s="9" t="s">
        <v>95</v>
      </c>
      <c r="D6" s="49">
        <v>7.65</v>
      </c>
      <c r="E6" s="50">
        <v>5.01</v>
      </c>
    </row>
    <row r="7" spans="1:5" outlineLevel="3">
      <c r="A7" s="9" t="s">
        <v>108</v>
      </c>
      <c r="B7" s="9" t="s">
        <v>106</v>
      </c>
      <c r="C7" s="9" t="s">
        <v>95</v>
      </c>
      <c r="D7" s="49">
        <v>9.82</v>
      </c>
      <c r="E7" s="50">
        <v>6.38</v>
      </c>
    </row>
    <row r="8" spans="1:5" outlineLevel="2">
      <c r="A8" s="9"/>
      <c r="B8" s="9"/>
      <c r="C8" s="68" t="s">
        <v>262</v>
      </c>
      <c r="D8" s="49">
        <f>SUBTOTAL(4,D4:D7)</f>
        <v>9.82</v>
      </c>
      <c r="E8" s="50">
        <f>SUBTOTAL(4,E4:E7)</f>
        <v>6.38</v>
      </c>
    </row>
    <row r="9" spans="1:5" outlineLevel="1">
      <c r="A9" s="9"/>
      <c r="B9" s="9"/>
      <c r="C9" s="68" t="s">
        <v>258</v>
      </c>
      <c r="D9" s="49">
        <f>SUBTOTAL(1,D4:D7)</f>
        <v>9.0350000000000001</v>
      </c>
      <c r="E9" s="50">
        <f>SUBTOTAL(1,E4:E7)</f>
        <v>5.9950000000000001</v>
      </c>
    </row>
    <row r="10" spans="1:5" outlineLevel="3">
      <c r="A10" s="9" t="s">
        <v>107</v>
      </c>
      <c r="B10" s="9" t="s">
        <v>97</v>
      </c>
      <c r="C10" s="9" t="s">
        <v>94</v>
      </c>
      <c r="D10" s="49">
        <v>9.3000000000000007</v>
      </c>
      <c r="E10" s="50">
        <v>6.27</v>
      </c>
    </row>
    <row r="11" spans="1:5" outlineLevel="3">
      <c r="A11" s="9" t="s">
        <v>108</v>
      </c>
      <c r="B11" s="9" t="s">
        <v>102</v>
      </c>
      <c r="C11" s="9" t="s">
        <v>94</v>
      </c>
      <c r="D11" s="49">
        <v>8.6300000000000008</v>
      </c>
      <c r="E11" s="50">
        <v>5.66</v>
      </c>
    </row>
    <row r="12" spans="1:5" outlineLevel="3">
      <c r="A12" s="9" t="s">
        <v>110</v>
      </c>
      <c r="B12" s="9" t="s">
        <v>105</v>
      </c>
      <c r="C12" s="9" t="s">
        <v>94</v>
      </c>
      <c r="D12" s="49">
        <v>9.1999999999999993</v>
      </c>
      <c r="E12" s="50">
        <v>6.27</v>
      </c>
    </row>
    <row r="13" spans="1:5" outlineLevel="2">
      <c r="A13" s="9"/>
      <c r="B13" s="9"/>
      <c r="C13" s="68" t="s">
        <v>263</v>
      </c>
      <c r="D13" s="49">
        <f>SUBTOTAL(4,D10:D12)</f>
        <v>9.3000000000000007</v>
      </c>
      <c r="E13" s="50">
        <f>SUBTOTAL(4,E10:E12)</f>
        <v>6.27</v>
      </c>
    </row>
    <row r="14" spans="1:5" outlineLevel="1">
      <c r="A14" s="9"/>
      <c r="B14" s="9"/>
      <c r="C14" s="68" t="s">
        <v>259</v>
      </c>
      <c r="D14" s="49">
        <f>SUBTOTAL(1,D10:D12)</f>
        <v>9.043333333333333</v>
      </c>
      <c r="E14" s="50">
        <f>SUBTOTAL(1,E10:E12)</f>
        <v>6.0666666666666664</v>
      </c>
    </row>
    <row r="15" spans="1:5" outlineLevel="3">
      <c r="A15" s="9" t="s">
        <v>107</v>
      </c>
      <c r="B15" s="9" t="s">
        <v>99</v>
      </c>
      <c r="C15" s="9" t="s">
        <v>96</v>
      </c>
      <c r="D15" s="49">
        <v>9.6999999999999993</v>
      </c>
      <c r="E15" s="50">
        <v>6.86</v>
      </c>
    </row>
    <row r="16" spans="1:5" outlineLevel="3">
      <c r="A16" s="9" t="s">
        <v>109</v>
      </c>
      <c r="B16" s="9" t="s">
        <v>103</v>
      </c>
      <c r="C16" s="9" t="s">
        <v>96</v>
      </c>
      <c r="D16" s="49">
        <v>7.27</v>
      </c>
      <c r="E16" s="50">
        <v>6.05</v>
      </c>
    </row>
    <row r="17" spans="1:5" outlineLevel="3">
      <c r="A17" s="9" t="s">
        <v>107</v>
      </c>
      <c r="B17" s="9" t="s">
        <v>104</v>
      </c>
      <c r="C17" s="9" t="s">
        <v>96</v>
      </c>
      <c r="D17" s="49">
        <v>9.9499999999999993</v>
      </c>
      <c r="E17" s="50">
        <v>6.26</v>
      </c>
    </row>
    <row r="18" spans="1:5" outlineLevel="2">
      <c r="A18" s="14"/>
      <c r="B18" s="14"/>
      <c r="C18" s="71" t="s">
        <v>264</v>
      </c>
      <c r="D18" s="69">
        <f>SUBTOTAL(4,D15:D17)</f>
        <v>9.9499999999999993</v>
      </c>
      <c r="E18" s="70">
        <f>SUBTOTAL(4,E15:E17)</f>
        <v>6.86</v>
      </c>
    </row>
    <row r="19" spans="1:5" outlineLevel="1">
      <c r="A19" s="14"/>
      <c r="B19" s="14"/>
      <c r="C19" s="71" t="s">
        <v>260</v>
      </c>
      <c r="D19" s="69">
        <f>SUBTOTAL(1,D15:D17)</f>
        <v>8.9733333333333327</v>
      </c>
      <c r="E19" s="70">
        <f>SUBTOTAL(1,E15:E17)</f>
        <v>6.3900000000000006</v>
      </c>
    </row>
    <row r="20" spans="1:5">
      <c r="A20" s="14"/>
      <c r="B20" s="14"/>
      <c r="C20" s="71" t="s">
        <v>265</v>
      </c>
      <c r="D20" s="69">
        <f>SUBTOTAL(4,D4:D17)</f>
        <v>9.9499999999999993</v>
      </c>
      <c r="E20" s="70">
        <f>SUBTOTAL(4,E4:E17)</f>
        <v>6.86</v>
      </c>
    </row>
    <row r="21" spans="1:5">
      <c r="A21" s="14"/>
      <c r="B21" s="14"/>
      <c r="C21" s="71" t="s">
        <v>261</v>
      </c>
      <c r="D21" s="69">
        <f>SUBTOTAL(1,D4:D17)</f>
        <v>9.0190000000000001</v>
      </c>
      <c r="E21" s="70">
        <f>SUBTOTAL(1,E4:E17)</f>
        <v>6.1349999999999989</v>
      </c>
    </row>
    <row r="22" spans="1:5">
      <c r="A22" s="3"/>
      <c r="B22" s="3"/>
      <c r="C22" s="3"/>
      <c r="D22" s="3"/>
      <c r="E22" s="3"/>
    </row>
  </sheetData>
  <sortState ref="A4:E13">
    <sortCondition ref="C3"/>
  </sortState>
  <mergeCells count="1">
    <mergeCell ref="A1:E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8"/>
  <sheetViews>
    <sheetView zoomScaleNormal="100" workbookViewId="0">
      <selection sqref="A1:F1"/>
    </sheetView>
  </sheetViews>
  <sheetFormatPr defaultRowHeight="16.5"/>
  <cols>
    <col min="2" max="4" width="9.375" bestFit="1" customWidth="1"/>
    <col min="5" max="5" width="9.125" bestFit="1" customWidth="1"/>
    <col min="6" max="6" width="9.375" customWidth="1"/>
  </cols>
  <sheetData>
    <row r="1" spans="1:6" ht="26.25">
      <c r="A1" s="80" t="s">
        <v>244</v>
      </c>
      <c r="B1" s="80"/>
      <c r="C1" s="80"/>
      <c r="D1" s="80"/>
      <c r="E1" s="80"/>
      <c r="F1" s="80"/>
    </row>
    <row r="2" spans="1:6">
      <c r="A2" s="3"/>
      <c r="B2" s="3"/>
      <c r="C2" s="3"/>
      <c r="D2" s="3"/>
      <c r="E2" s="3"/>
      <c r="F2" s="3"/>
    </row>
    <row r="3" spans="1:6">
      <c r="A3" s="72" t="s">
        <v>39</v>
      </c>
      <c r="B3" s="72" t="s">
        <v>40</v>
      </c>
      <c r="C3" s="72" t="s">
        <v>41</v>
      </c>
      <c r="D3" s="72" t="s">
        <v>42</v>
      </c>
      <c r="E3" s="73" t="s">
        <v>43</v>
      </c>
      <c r="F3" s="72" t="s">
        <v>44</v>
      </c>
    </row>
    <row r="4" spans="1:6">
      <c r="A4" s="5">
        <v>2009</v>
      </c>
      <c r="B4" s="34">
        <v>19970</v>
      </c>
      <c r="C4" s="34">
        <v>54512</v>
      </c>
      <c r="D4" s="34">
        <v>44892</v>
      </c>
      <c r="E4" s="34">
        <v>18812</v>
      </c>
      <c r="F4" s="34">
        <f>SUM(B4:E4)</f>
        <v>138186</v>
      </c>
    </row>
    <row r="5" spans="1:6">
      <c r="A5" s="5">
        <v>2010</v>
      </c>
      <c r="B5" s="34">
        <v>18987</v>
      </c>
      <c r="C5" s="34">
        <v>50071</v>
      </c>
      <c r="D5" s="34">
        <v>40779</v>
      </c>
      <c r="E5" s="34">
        <v>20138</v>
      </c>
      <c r="F5" s="34">
        <f t="shared" ref="F5:F8" si="0">SUM(B5:E5)</f>
        <v>129975</v>
      </c>
    </row>
    <row r="6" spans="1:6">
      <c r="A6" s="5">
        <v>2011</v>
      </c>
      <c r="B6" s="34">
        <v>41053</v>
      </c>
      <c r="C6" s="34">
        <v>96228</v>
      </c>
      <c r="D6" s="34">
        <v>38094</v>
      </c>
      <c r="E6" s="34">
        <v>23527</v>
      </c>
      <c r="F6" s="34">
        <f t="shared" si="0"/>
        <v>198902</v>
      </c>
    </row>
    <row r="7" spans="1:6">
      <c r="A7" s="5">
        <v>2012</v>
      </c>
      <c r="B7" s="34">
        <v>53995</v>
      </c>
      <c r="C7" s="34">
        <v>126915</v>
      </c>
      <c r="D7" s="34">
        <v>43246</v>
      </c>
      <c r="E7" s="34">
        <v>25396</v>
      </c>
      <c r="F7" s="34">
        <f t="shared" si="0"/>
        <v>249552</v>
      </c>
    </row>
    <row r="8" spans="1:6">
      <c r="A8" s="5" t="s">
        <v>10</v>
      </c>
      <c r="B8" s="35">
        <f>SUM(B4:B7)</f>
        <v>134005</v>
      </c>
      <c r="C8" s="35">
        <f t="shared" ref="C8:E8" si="1">SUM(C4:C7)</f>
        <v>327726</v>
      </c>
      <c r="D8" s="35">
        <f t="shared" si="1"/>
        <v>167011</v>
      </c>
      <c r="E8" s="35">
        <f t="shared" si="1"/>
        <v>87873</v>
      </c>
      <c r="F8" s="34">
        <f t="shared" si="0"/>
        <v>716615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r:id="rId1"/>
  <ignoredErrors>
    <ignoredError sqref="F4:F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9"/>
  <sheetViews>
    <sheetView zoomScaleNormal="100" workbookViewId="0">
      <selection sqref="A1:E1"/>
    </sheetView>
  </sheetViews>
  <sheetFormatPr defaultRowHeight="16.5"/>
  <cols>
    <col min="1" max="1" width="15.5" customWidth="1"/>
    <col min="2" max="5" width="14.625" customWidth="1"/>
  </cols>
  <sheetData>
    <row r="1" spans="1:5" ht="26.25">
      <c r="A1" s="93" t="s">
        <v>45</v>
      </c>
      <c r="B1" s="93"/>
      <c r="C1" s="93"/>
      <c r="D1" s="93"/>
      <c r="E1" s="93"/>
    </row>
    <row r="2" spans="1:5">
      <c r="A2" s="1"/>
      <c r="B2" s="1"/>
      <c r="C2" s="1"/>
      <c r="D2" s="1"/>
      <c r="E2" s="20"/>
    </row>
    <row r="3" spans="1:5">
      <c r="A3" s="22" t="s">
        <v>46</v>
      </c>
      <c r="B3" s="22" t="s">
        <v>47</v>
      </c>
      <c r="C3" s="2" t="s">
        <v>48</v>
      </c>
      <c r="D3" s="2" t="s">
        <v>49</v>
      </c>
      <c r="E3" s="2" t="s">
        <v>62</v>
      </c>
    </row>
    <row r="4" spans="1:5">
      <c r="A4" s="22" t="s">
        <v>50</v>
      </c>
      <c r="B4" s="21" t="s">
        <v>56</v>
      </c>
      <c r="C4" s="36">
        <v>1608</v>
      </c>
      <c r="D4" s="23">
        <v>59</v>
      </c>
      <c r="E4" s="23">
        <v>5</v>
      </c>
    </row>
    <row r="5" spans="1:5">
      <c r="A5" s="22" t="s">
        <v>51</v>
      </c>
      <c r="B5" s="21" t="s">
        <v>57</v>
      </c>
      <c r="C5" s="36">
        <v>47</v>
      </c>
      <c r="D5" s="23">
        <v>41</v>
      </c>
      <c r="E5" s="23">
        <v>7</v>
      </c>
    </row>
    <row r="6" spans="1:5">
      <c r="A6" s="22" t="s">
        <v>52</v>
      </c>
      <c r="B6" s="21" t="s">
        <v>58</v>
      </c>
      <c r="C6" s="36">
        <v>183</v>
      </c>
      <c r="D6" s="23">
        <v>84</v>
      </c>
      <c r="E6" s="23">
        <v>4</v>
      </c>
    </row>
    <row r="7" spans="1:5">
      <c r="A7" s="22" t="s">
        <v>53</v>
      </c>
      <c r="B7" s="21" t="s">
        <v>59</v>
      </c>
      <c r="C7" s="36">
        <v>765</v>
      </c>
      <c r="D7" s="23">
        <v>101</v>
      </c>
      <c r="E7" s="23">
        <v>5</v>
      </c>
    </row>
    <row r="8" spans="1:5">
      <c r="A8" s="22" t="s">
        <v>54</v>
      </c>
      <c r="B8" s="21" t="s">
        <v>60</v>
      </c>
      <c r="C8" s="36">
        <v>96</v>
      </c>
      <c r="D8" s="23">
        <v>92</v>
      </c>
      <c r="E8" s="23">
        <v>7</v>
      </c>
    </row>
    <row r="9" spans="1:5">
      <c r="A9" s="22" t="s">
        <v>55</v>
      </c>
      <c r="B9" s="21" t="s">
        <v>61</v>
      </c>
      <c r="C9" s="36">
        <v>1020</v>
      </c>
      <c r="D9" s="23">
        <v>114</v>
      </c>
      <c r="E9" s="23">
        <v>6</v>
      </c>
    </row>
  </sheetData>
  <mergeCells count="1">
    <mergeCell ref="A1:E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gaincom01</cp:lastModifiedBy>
  <dcterms:created xsi:type="dcterms:W3CDTF">2011-08-10T07:46:52Z</dcterms:created>
  <dcterms:modified xsi:type="dcterms:W3CDTF">2020-10-10T05:08:50Z</dcterms:modified>
</cp:coreProperties>
</file>