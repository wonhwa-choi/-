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2020년 작업(아카데미소프트)\2021년컴활교재(아카)작업\정답 파일\합격모의고사\"/>
    </mc:Choice>
  </mc:AlternateContent>
  <bookViews>
    <workbookView xWindow="60" yWindow="5955" windowWidth="18195" windowHeight="11445"/>
  </bookViews>
  <sheets>
    <sheet name="기본작업-1" sheetId="9" r:id="rId1"/>
    <sheet name="기본작업-2" sheetId="4" r:id="rId2"/>
    <sheet name="기본작업-3" sheetId="5" r:id="rId3"/>
    <sheet name="계산작업" sheetId="2" r:id="rId4"/>
    <sheet name="분석작업-1" sheetId="3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'기본작업-3'!$A$3:$G$16</definedName>
    <definedName name="_xlnm.Criteria" localSheetId="2">'기본작업-3'!$A$18:$B$19</definedName>
    <definedName name="_xlnm.Extract" localSheetId="2">'기본작업-3'!$A$21:$G$21</definedName>
  </definedNames>
  <calcPr calcId="162913"/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3" i="2"/>
  <c r="D20" i="2"/>
  <c r="H27" i="2"/>
  <c r="H28" i="2"/>
  <c r="H29" i="2"/>
  <c r="H30" i="2"/>
  <c r="H31" i="2"/>
  <c r="H26" i="2"/>
  <c r="F10" i="7" l="1"/>
  <c r="E10" i="7"/>
  <c r="G35" i="3" l="1"/>
  <c r="G33" i="3"/>
  <c r="G29" i="3"/>
  <c r="G24" i="3"/>
  <c r="G21" i="3"/>
  <c r="G15" i="3"/>
  <c r="G8" i="3"/>
  <c r="D34" i="3"/>
  <c r="D30" i="3"/>
  <c r="D25" i="3"/>
  <c r="D22" i="3"/>
  <c r="D16" i="3"/>
  <c r="D9" i="3"/>
  <c r="D36" i="3" s="1"/>
  <c r="J21" i="2" l="1"/>
  <c r="I4" i="2"/>
  <c r="I5" i="2"/>
  <c r="I6" i="2"/>
  <c r="I7" i="2"/>
  <c r="I8" i="2"/>
  <c r="I3" i="2"/>
  <c r="D4" i="6" l="1"/>
  <c r="E4" i="6" s="1"/>
  <c r="G4" i="6" s="1"/>
  <c r="F9" i="6"/>
  <c r="C5" i="6"/>
  <c r="G5" i="5"/>
  <c r="G6" i="5"/>
  <c r="G7" i="5"/>
  <c r="G8" i="5"/>
  <c r="G9" i="5"/>
  <c r="G10" i="5"/>
  <c r="G11" i="5"/>
  <c r="G12" i="5"/>
  <c r="G13" i="5"/>
  <c r="G14" i="5"/>
  <c r="G15" i="5"/>
  <c r="G16" i="5"/>
  <c r="G4" i="5"/>
  <c r="H4" i="6" l="1"/>
  <c r="I4" i="6" s="1"/>
  <c r="C6" i="6"/>
  <c r="D5" i="6"/>
  <c r="C7" i="6" l="1"/>
  <c r="D6" i="6"/>
  <c r="E6" i="6" s="1"/>
  <c r="E5" i="6"/>
  <c r="G5" i="6" s="1"/>
  <c r="C8" i="6" l="1"/>
  <c r="C9" i="6" s="1"/>
  <c r="D7" i="6"/>
  <c r="G6" i="6"/>
  <c r="H5" i="6"/>
  <c r="I5" i="6" s="1"/>
  <c r="H6" i="6" l="1"/>
  <c r="E7" i="6"/>
  <c r="D8" i="6"/>
  <c r="D9" i="6" s="1"/>
  <c r="E8" i="6"/>
  <c r="G8" i="6" s="1"/>
  <c r="H8" i="6" l="1"/>
  <c r="I8" i="6" s="1"/>
  <c r="I6" i="6"/>
  <c r="G7" i="6"/>
  <c r="E9" i="6"/>
  <c r="H7" i="6" l="1"/>
  <c r="H9" i="6" s="1"/>
  <c r="G9" i="6"/>
  <c r="I7" i="6" l="1"/>
  <c r="I9" i="6" s="1"/>
</calcChain>
</file>

<file path=xl/comments1.xml><?xml version="1.0" encoding="utf-8"?>
<comments xmlns="http://schemas.openxmlformats.org/spreadsheetml/2006/main">
  <authors>
    <author>Windows 사용자</author>
  </authors>
  <commentList>
    <comment ref="F4" authorId="0" shapeId="0">
      <text>
        <r>
          <rPr>
            <b/>
            <sz val="9"/>
            <color indexed="81"/>
            <rFont val="돋움"/>
            <family val="3"/>
            <charset val="129"/>
          </rPr>
          <t>상품별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매출액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</t>
        </r>
      </text>
    </comment>
  </commentList>
</comments>
</file>

<file path=xl/sharedStrings.xml><?xml version="1.0" encoding="utf-8"?>
<sst xmlns="http://schemas.openxmlformats.org/spreadsheetml/2006/main" count="404" uniqueCount="302">
  <si>
    <t>하반기 생활용품 판매 현황</t>
  </si>
  <si>
    <t>상품명</t>
  </si>
  <si>
    <t>단가</t>
  </si>
  <si>
    <t>목표수량</t>
  </si>
  <si>
    <t>판매수량</t>
  </si>
  <si>
    <t>할인율</t>
  </si>
  <si>
    <t>실판매금액</t>
  </si>
  <si>
    <t>뜸질기</t>
  </si>
  <si>
    <t>보플제거기</t>
  </si>
  <si>
    <t>생옥 찜질팩</t>
  </si>
  <si>
    <t>황토팩</t>
  </si>
  <si>
    <t>싹쓸이 청소기</t>
  </si>
  <si>
    <t>전기장판</t>
  </si>
  <si>
    <t>범랑냄비</t>
  </si>
  <si>
    <t>슬로쿠커</t>
  </si>
  <si>
    <t>합계</t>
  </si>
  <si>
    <t>세공품 수출입 현황</t>
  </si>
  <si>
    <t>날짜</t>
  </si>
  <si>
    <t>코드</t>
  </si>
  <si>
    <t>제품명</t>
  </si>
  <si>
    <t>구분</t>
  </si>
  <si>
    <t>제품단가</t>
  </si>
  <si>
    <t>수량</t>
  </si>
  <si>
    <t>입금금액</t>
  </si>
  <si>
    <t>S200</t>
  </si>
  <si>
    <t>은타일</t>
  </si>
  <si>
    <t>수입</t>
  </si>
  <si>
    <t>수출</t>
  </si>
  <si>
    <t>C100</t>
  </si>
  <si>
    <t>세공품</t>
  </si>
  <si>
    <t>G111</t>
  </si>
  <si>
    <t>금도료</t>
  </si>
  <si>
    <t>[표1]</t>
  </si>
  <si>
    <t>[표2]</t>
  </si>
  <si>
    <t>사원명</t>
  </si>
  <si>
    <t>컴퓨터일반</t>
  </si>
  <si>
    <t>워드</t>
  </si>
  <si>
    <t>합격여부</t>
  </si>
  <si>
    <t>접수번호</t>
  </si>
  <si>
    <t>성명</t>
  </si>
  <si>
    <t>등록번호</t>
  </si>
  <si>
    <t>출신학교</t>
  </si>
  <si>
    <t>학교코드</t>
  </si>
  <si>
    <t>학교명</t>
  </si>
  <si>
    <t>이지연</t>
  </si>
  <si>
    <t>김민찬</t>
  </si>
  <si>
    <t>상계중</t>
  </si>
  <si>
    <t>한가람</t>
  </si>
  <si>
    <t>홍길동</t>
  </si>
  <si>
    <t>동호중</t>
  </si>
  <si>
    <t>오두영</t>
  </si>
  <si>
    <t>안국현</t>
  </si>
  <si>
    <t>명성중</t>
  </si>
  <si>
    <t>안치연</t>
  </si>
  <si>
    <t>도지원</t>
  </si>
  <si>
    <t>성동여중</t>
  </si>
  <si>
    <t>명기영</t>
  </si>
  <si>
    <t>박수영</t>
  </si>
  <si>
    <t>상공중</t>
  </si>
  <si>
    <t>나미인</t>
  </si>
  <si>
    <t>이덕철</t>
  </si>
  <si>
    <t>대한중</t>
  </si>
  <si>
    <t>[표3]</t>
  </si>
  <si>
    <t xml:space="preserve">[표4] </t>
  </si>
  <si>
    <t>소속지점</t>
  </si>
  <si>
    <t>판매량</t>
  </si>
  <si>
    <t>판매금액</t>
  </si>
  <si>
    <t>정기영</t>
  </si>
  <si>
    <t>북부</t>
  </si>
  <si>
    <t>임주영</t>
  </si>
  <si>
    <t>대전</t>
  </si>
  <si>
    <t>장금이</t>
  </si>
  <si>
    <t>남부</t>
  </si>
  <si>
    <t>김남주</t>
  </si>
  <si>
    <t>서울</t>
  </si>
  <si>
    <t>박태훈</t>
  </si>
  <si>
    <t>박수홍</t>
  </si>
  <si>
    <t>태구영</t>
  </si>
  <si>
    <t>피형인</t>
  </si>
  <si>
    <t>우지원</t>
  </si>
  <si>
    <t>우태형</t>
  </si>
  <si>
    <t>부산</t>
  </si>
  <si>
    <t>여혜경</t>
  </si>
  <si>
    <t>송아리</t>
  </si>
  <si>
    <t>유미나</t>
  </si>
  <si>
    <t>장인영</t>
  </si>
  <si>
    <t xml:space="preserve">북부지점 평균 </t>
  </si>
  <si>
    <t>류나연</t>
  </si>
  <si>
    <t xml:space="preserve">[표5] </t>
  </si>
  <si>
    <t>1번</t>
  </si>
  <si>
    <t>2번</t>
  </si>
  <si>
    <t>3번</t>
  </si>
  <si>
    <t>4번</t>
  </si>
  <si>
    <t>5번</t>
  </si>
  <si>
    <t>총점</t>
  </si>
  <si>
    <t>등급</t>
  </si>
  <si>
    <t>오지명</t>
  </si>
  <si>
    <t>박인영</t>
  </si>
  <si>
    <t>추정미</t>
  </si>
  <si>
    <t>최성오</t>
  </si>
  <si>
    <t>정오철</t>
  </si>
  <si>
    <t>김민태</t>
  </si>
  <si>
    <t>도서코드</t>
  </si>
  <si>
    <t>도서명</t>
  </si>
  <si>
    <t>출판사</t>
  </si>
  <si>
    <t>대여료</t>
  </si>
  <si>
    <t>성별</t>
  </si>
  <si>
    <t>나이</t>
  </si>
  <si>
    <t>대출일</t>
  </si>
  <si>
    <t>반납일</t>
  </si>
  <si>
    <t>813-416</t>
  </si>
  <si>
    <t>혼불</t>
  </si>
  <si>
    <t>한길사</t>
  </si>
  <si>
    <t>김미현</t>
  </si>
  <si>
    <t>여</t>
  </si>
  <si>
    <t>813-417</t>
  </si>
  <si>
    <t>태백산맥</t>
  </si>
  <si>
    <t>남은영</t>
  </si>
  <si>
    <t>813-418</t>
  </si>
  <si>
    <t>요재지이</t>
  </si>
  <si>
    <t>대현출판사</t>
  </si>
  <si>
    <t>남</t>
  </si>
  <si>
    <t>813-419</t>
  </si>
  <si>
    <t>육조괴담</t>
  </si>
  <si>
    <t>이정철</t>
  </si>
  <si>
    <t>813-420</t>
  </si>
  <si>
    <t>봉신방</t>
  </si>
  <si>
    <t>모한근</t>
  </si>
  <si>
    <t>813-421</t>
  </si>
  <si>
    <t>논어</t>
  </si>
  <si>
    <t>임철훈</t>
  </si>
  <si>
    <t>813-422</t>
  </si>
  <si>
    <t>화학약품대사전</t>
  </si>
  <si>
    <t>학원출판공사</t>
  </si>
  <si>
    <t>김준형</t>
  </si>
  <si>
    <t>813-423</t>
  </si>
  <si>
    <t>대학</t>
  </si>
  <si>
    <t>박준호</t>
  </si>
  <si>
    <t>813-424</t>
  </si>
  <si>
    <t>무녀도</t>
  </si>
  <si>
    <t>민음사</t>
  </si>
  <si>
    <t>도형국</t>
  </si>
  <si>
    <t>813-425</t>
  </si>
  <si>
    <t>역마</t>
  </si>
  <si>
    <t>정철훈</t>
  </si>
  <si>
    <t>813-426</t>
  </si>
  <si>
    <t>등신불</t>
  </si>
  <si>
    <t>구본영</t>
  </si>
  <si>
    <t>813-427</t>
  </si>
  <si>
    <t>사반의 십자가</t>
  </si>
  <si>
    <t>한미리</t>
  </si>
  <si>
    <t>813-428</t>
  </si>
  <si>
    <t>대망</t>
  </si>
  <si>
    <t>중앙출판사</t>
  </si>
  <si>
    <t>정태호</t>
  </si>
  <si>
    <t>813-429</t>
  </si>
  <si>
    <t>조선왕조500년</t>
  </si>
  <si>
    <t>금성출판사</t>
  </si>
  <si>
    <t>이한길</t>
  </si>
  <si>
    <t>813-430</t>
  </si>
  <si>
    <t>한국단편문학32</t>
  </si>
  <si>
    <t>소수연</t>
  </si>
  <si>
    <t>813-431</t>
  </si>
  <si>
    <t>화학의 정석</t>
  </si>
  <si>
    <t>지연희</t>
  </si>
  <si>
    <t>813-432</t>
  </si>
  <si>
    <t>일본문화</t>
  </si>
  <si>
    <t>황수현</t>
  </si>
  <si>
    <t>813-433</t>
  </si>
  <si>
    <t>재미있는 화학</t>
  </si>
  <si>
    <t>박아영</t>
  </si>
  <si>
    <t>813-434</t>
  </si>
  <si>
    <t>교양한문</t>
  </si>
  <si>
    <t>유미연</t>
  </si>
  <si>
    <t>손익계산서</t>
  </si>
  <si>
    <t>년도</t>
  </si>
  <si>
    <t>매출액</t>
  </si>
  <si>
    <t>매출원가</t>
  </si>
  <si>
    <t>매출총이익</t>
  </si>
  <si>
    <t>관리비</t>
  </si>
  <si>
    <t>영업이익</t>
  </si>
  <si>
    <t>법인세</t>
  </si>
  <si>
    <t>순이익</t>
  </si>
  <si>
    <t>평균</t>
  </si>
  <si>
    <t>매출 원가율</t>
  </si>
  <si>
    <t xml:space="preserve">품명 </t>
  </si>
  <si>
    <t>원가</t>
  </si>
  <si>
    <t>불량률</t>
  </si>
  <si>
    <t>생산비용</t>
  </si>
  <si>
    <t>목표매출액</t>
  </si>
  <si>
    <t>사인펜</t>
  </si>
  <si>
    <t>연필깍기</t>
  </si>
  <si>
    <t>만년필</t>
  </si>
  <si>
    <t>자</t>
  </si>
  <si>
    <t>형광펜</t>
  </si>
  <si>
    <t>볼펜</t>
  </si>
  <si>
    <t>합계</t>
    <phoneticPr fontId="1" type="noConversion"/>
  </si>
  <si>
    <t>쌀 생산량 및 1인당 소비량 변화</t>
  </si>
  <si>
    <t>(쌀생산량:천M/T)</t>
  </si>
  <si>
    <t>(1인당소비량:Kg)</t>
  </si>
  <si>
    <t>쌀생산량</t>
  </si>
  <si>
    <t>1인당 소비량</t>
  </si>
  <si>
    <t>세금 적용률</t>
    <phoneticPr fontId="1" type="noConversion"/>
  </si>
  <si>
    <t>연평균 성장률</t>
    <phoneticPr fontId="1" type="noConversion"/>
  </si>
  <si>
    <t>[학교코드표]</t>
    <phoneticPr fontId="1" type="noConversion"/>
  </si>
  <si>
    <t>123</t>
    <phoneticPr fontId="1" type="noConversion"/>
  </si>
  <si>
    <t>1</t>
    <phoneticPr fontId="1" type="noConversion"/>
  </si>
  <si>
    <t>148</t>
    <phoneticPr fontId="1" type="noConversion"/>
  </si>
  <si>
    <t>2</t>
    <phoneticPr fontId="1" type="noConversion"/>
  </si>
  <si>
    <t>157</t>
    <phoneticPr fontId="1" type="noConversion"/>
  </si>
  <si>
    <t>3</t>
    <phoneticPr fontId="1" type="noConversion"/>
  </si>
  <si>
    <t>116</t>
    <phoneticPr fontId="1" type="noConversion"/>
  </si>
  <si>
    <t>4</t>
    <phoneticPr fontId="1" type="noConversion"/>
  </si>
  <si>
    <t>139</t>
    <phoneticPr fontId="1" type="noConversion"/>
  </si>
  <si>
    <t>5</t>
    <phoneticPr fontId="1" type="noConversion"/>
  </si>
  <si>
    <t>161</t>
    <phoneticPr fontId="1" type="noConversion"/>
  </si>
  <si>
    <t>6</t>
    <phoneticPr fontId="1" type="noConversion"/>
  </si>
  <si>
    <t>지역</t>
    <phoneticPr fontId="1" type="noConversion"/>
  </si>
  <si>
    <t>지점</t>
    <phoneticPr fontId="1" type="noConversion"/>
  </si>
  <si>
    <t>K7</t>
    <phoneticPr fontId="1" type="noConversion"/>
  </si>
  <si>
    <t>K8</t>
    <phoneticPr fontId="1" type="noConversion"/>
  </si>
  <si>
    <t>갈마</t>
    <phoneticPr fontId="1" type="noConversion"/>
  </si>
  <si>
    <t>양천</t>
    <phoneticPr fontId="1" type="noConversion"/>
  </si>
  <si>
    <t>부산</t>
    <phoneticPr fontId="1" type="noConversion"/>
  </si>
  <si>
    <t>광안</t>
    <phoneticPr fontId="1" type="noConversion"/>
  </si>
  <si>
    <t>화곡</t>
    <phoneticPr fontId="1" type="noConversion"/>
  </si>
  <si>
    <t>영도</t>
    <phoneticPr fontId="1" type="noConversion"/>
  </si>
  <si>
    <t>계산</t>
    <phoneticPr fontId="1" type="noConversion"/>
  </si>
  <si>
    <t>서울</t>
    <phoneticPr fontId="1" type="noConversion"/>
  </si>
  <si>
    <t>K8 총 판매 대수</t>
    <phoneticPr fontId="1" type="noConversion"/>
  </si>
  <si>
    <t>코드번호</t>
  </si>
  <si>
    <t>개발회사</t>
  </si>
  <si>
    <t>사용환경</t>
  </si>
  <si>
    <t>구입가격</t>
  </si>
  <si>
    <t>구입처</t>
  </si>
  <si>
    <t>S-JA-01</t>
  </si>
  <si>
    <t>한국의자연</t>
  </si>
  <si>
    <t>아카데미</t>
  </si>
  <si>
    <t>Windows XP 이상</t>
  </si>
  <si>
    <t>대한소프트</t>
  </si>
  <si>
    <t>S-SA-10</t>
  </si>
  <si>
    <t>GAMMA 사진 화보집</t>
  </si>
  <si>
    <t>오넥스시스템</t>
  </si>
  <si>
    <t>상공문고</t>
  </si>
  <si>
    <t>S-MU-90</t>
  </si>
  <si>
    <t>NEW 음악 이야기</t>
  </si>
  <si>
    <t>상공미디어</t>
  </si>
  <si>
    <t>Linux 9 이상</t>
  </si>
  <si>
    <t>케이소프트</t>
  </si>
  <si>
    <t>S-TR-84</t>
  </si>
  <si>
    <t>시베리아 횡단열차</t>
  </si>
  <si>
    <t>채널미디어</t>
  </si>
  <si>
    <t>한국상사</t>
  </si>
  <si>
    <t>S-JA-32</t>
  </si>
  <si>
    <t>오지의세계</t>
  </si>
  <si>
    <t>SoftLand</t>
  </si>
  <si>
    <t>DVD롬, 플레이어</t>
  </si>
  <si>
    <t>한글자랑</t>
  </si>
  <si>
    <t>S-SA-17</t>
  </si>
  <si>
    <t>문화의향기</t>
  </si>
  <si>
    <t>SG문화재단</t>
  </si>
  <si>
    <t>매킨토시 7.5 이상</t>
  </si>
  <si>
    <t>성공문고</t>
  </si>
  <si>
    <t>S-SE-39</t>
  </si>
  <si>
    <t>한국의바다</t>
  </si>
  <si>
    <t>상공Pride&amp;Soft</t>
  </si>
  <si>
    <t>윈도우 8 이상</t>
  </si>
  <si>
    <t>S-KP-27</t>
  </si>
  <si>
    <t>남극의눈물</t>
  </si>
  <si>
    <t>M-미디어</t>
  </si>
  <si>
    <t>윈도우 7 이상</t>
  </si>
  <si>
    <t>태양문고</t>
  </si>
  <si>
    <t>우수 소프트웨어 목록 안내</t>
    <phoneticPr fontId="1" type="noConversion"/>
  </si>
  <si>
    <t>소프트웨어명</t>
    <phoneticPr fontId="1" type="noConversion"/>
  </si>
  <si>
    <t>상공문고 도서 대출 현황</t>
    <phoneticPr fontId="1" type="noConversion"/>
  </si>
  <si>
    <t>2016년</t>
    <phoneticPr fontId="1" type="noConversion"/>
  </si>
  <si>
    <t>[표] 문구 생산 현황</t>
    <phoneticPr fontId="1" type="noConversion"/>
  </si>
  <si>
    <t>2012년</t>
    <phoneticPr fontId="1" type="noConversion"/>
  </si>
  <si>
    <t>2017년</t>
    <phoneticPr fontId="1" type="noConversion"/>
  </si>
  <si>
    <t>2007년</t>
    <phoneticPr fontId="1" type="noConversion"/>
  </si>
  <si>
    <t>2002년</t>
    <phoneticPr fontId="1" type="noConversion"/>
  </si>
  <si>
    <t>1997년</t>
    <phoneticPr fontId="1" type="noConversion"/>
  </si>
  <si>
    <t>수출</t>
    <phoneticPr fontId="1" type="noConversion"/>
  </si>
  <si>
    <t>&gt;=550000</t>
    <phoneticPr fontId="1" type="noConversion"/>
  </si>
  <si>
    <t>금성출판사 요약</t>
  </si>
  <si>
    <t>대현출판사 요약</t>
  </si>
  <si>
    <t>민음사 요약</t>
  </si>
  <si>
    <t>중앙출판사 요약</t>
  </si>
  <si>
    <t>학원출판공사 요약</t>
  </si>
  <si>
    <t>한길사 요약</t>
  </si>
  <si>
    <t>총합계</t>
  </si>
  <si>
    <t>금성출판사 최소값</t>
  </si>
  <si>
    <t>대현출판사 최소값</t>
  </si>
  <si>
    <t>민음사 최소값</t>
  </si>
  <si>
    <t>중앙출판사 최소값</t>
  </si>
  <si>
    <t>학원출판공사 최소값</t>
  </si>
  <si>
    <t>한길사 최소값</t>
  </si>
  <si>
    <t>전체 최소값</t>
  </si>
  <si>
    <t>2017년</t>
  </si>
  <si>
    <t>2018년</t>
  </si>
  <si>
    <t>2019년</t>
  </si>
  <si>
    <t>2020년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</si>
</sst>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0.0_ "/>
    <numFmt numFmtId="178" formatCode="yyyy&quot;年&quot;\ mm&quot;月&quot;\ &quot;현재&quot;"/>
  </numFmts>
  <fonts count="12" x14ac:knownFonts="1"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b/>
      <sz val="22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20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u val="double"/>
      <sz val="20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41" fontId="0" fillId="0" borderId="8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58" fontId="0" fillId="0" borderId="8" xfId="0" applyNumberFormat="1" applyBorder="1" applyAlignment="1">
      <alignment horizontal="center" vertical="center"/>
    </xf>
    <xf numFmtId="58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41" fontId="0" fillId="0" borderId="11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58" fontId="0" fillId="0" borderId="11" xfId="0" applyNumberFormat="1" applyBorder="1" applyAlignment="1">
      <alignment horizontal="center" vertical="center"/>
    </xf>
    <xf numFmtId="58" fontId="0" fillId="0" borderId="12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41" fontId="0" fillId="0" borderId="13" xfId="1" applyFont="1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1" fontId="0" fillId="0" borderId="18" xfId="0" applyNumberFormat="1" applyBorder="1">
      <alignment vertical="center"/>
    </xf>
    <xf numFmtId="0" fontId="0" fillId="0" borderId="19" xfId="0" applyBorder="1" applyAlignment="1">
      <alignment horizontal="center" vertical="center"/>
    </xf>
    <xf numFmtId="9" fontId="0" fillId="0" borderId="16" xfId="0" applyNumberFormat="1" applyBorder="1">
      <alignment vertical="center"/>
    </xf>
    <xf numFmtId="9" fontId="0" fillId="0" borderId="18" xfId="0" applyNumberFormat="1" applyBorder="1">
      <alignment vertical="center"/>
    </xf>
    <xf numFmtId="9" fontId="0" fillId="0" borderId="20" xfId="0" applyNumberFormat="1" applyBorder="1">
      <alignment vertical="center"/>
    </xf>
    <xf numFmtId="0" fontId="0" fillId="0" borderId="21" xfId="0" applyBorder="1" applyAlignment="1">
      <alignment horizontal="center" vertical="center"/>
    </xf>
    <xf numFmtId="41" fontId="0" fillId="0" borderId="14" xfId="1" applyFont="1" applyBorder="1">
      <alignment vertical="center"/>
    </xf>
    <xf numFmtId="41" fontId="0" fillId="0" borderId="14" xfId="0" applyNumberFormat="1" applyBorder="1">
      <alignment vertical="center"/>
    </xf>
    <xf numFmtId="41" fontId="0" fillId="0" borderId="22" xfId="0" applyNumberForma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1" fontId="0" fillId="0" borderId="14" xfId="1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41" fontId="0" fillId="0" borderId="13" xfId="0" applyNumberFormat="1" applyBorder="1">
      <alignment vertical="center"/>
    </xf>
    <xf numFmtId="41" fontId="0" fillId="0" borderId="13" xfId="1" applyFont="1" applyBorder="1" applyAlignment="1">
      <alignment vertical="center"/>
    </xf>
    <xf numFmtId="41" fontId="0" fillId="0" borderId="26" xfId="0" applyNumberFormat="1" applyBorder="1">
      <alignment vertical="center"/>
    </xf>
    <xf numFmtId="0" fontId="0" fillId="0" borderId="27" xfId="0" applyBorder="1" applyAlignment="1">
      <alignment horizontal="center" vertical="center"/>
    </xf>
    <xf numFmtId="41" fontId="0" fillId="0" borderId="28" xfId="1" applyFont="1" applyBorder="1">
      <alignment vertical="center"/>
    </xf>
    <xf numFmtId="41" fontId="0" fillId="0" borderId="28" xfId="1" applyFont="1" applyBorder="1" applyAlignment="1">
      <alignment vertical="center"/>
    </xf>
    <xf numFmtId="41" fontId="0" fillId="0" borderId="29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3" fontId="0" fillId="0" borderId="0" xfId="1" applyNumberFormat="1" applyFont="1">
      <alignment vertical="center"/>
    </xf>
    <xf numFmtId="178" fontId="0" fillId="0" borderId="0" xfId="0" applyNumberFormat="1">
      <alignment vertical="center"/>
    </xf>
    <xf numFmtId="0" fontId="0" fillId="0" borderId="1" xfId="0" applyBorder="1">
      <alignment vertical="center"/>
    </xf>
    <xf numFmtId="42" fontId="0" fillId="0" borderId="1" xfId="2" applyFont="1" applyBorder="1">
      <alignment vertical="center"/>
    </xf>
    <xf numFmtId="9" fontId="0" fillId="0" borderId="1" xfId="3" applyFont="1" applyBorder="1">
      <alignment vertical="center"/>
    </xf>
    <xf numFmtId="0" fontId="0" fillId="0" borderId="31" xfId="0" applyBorder="1">
      <alignment vertical="center"/>
    </xf>
    <xf numFmtId="0" fontId="9" fillId="0" borderId="8" xfId="0" applyFont="1" applyBorder="1" applyAlignment="1">
      <alignment vertical="center"/>
    </xf>
    <xf numFmtId="0" fontId="0" fillId="0" borderId="0" xfId="0" applyBorder="1" applyAlignment="1">
      <alignment vertical="center"/>
    </xf>
    <xf numFmtId="41" fontId="0" fillId="0" borderId="0" xfId="1" applyFont="1" applyBorder="1" applyAlignment="1">
      <alignment horizontal="center" vertical="center"/>
    </xf>
    <xf numFmtId="58" fontId="0" fillId="0" borderId="0" xfId="0" applyNumberForma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31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맑은 고딕" pitchFamily="50" charset="-127"/>
                <a:ea typeface="맑은 고딕" pitchFamily="50" charset="-127"/>
              </a:defRPr>
            </a:pPr>
            <a:r>
              <a:rPr lang="ko-KR" altLang="en-US">
                <a:latin typeface="맑은 고딕" pitchFamily="50" charset="-127"/>
                <a:ea typeface="맑은 고딕" pitchFamily="50" charset="-127"/>
              </a:rPr>
              <a:t>쌀생산량 및 </a:t>
            </a:r>
            <a:r>
              <a:rPr lang="en-US" altLang="ko-KR">
                <a:latin typeface="맑은 고딕" pitchFamily="50" charset="-127"/>
                <a:ea typeface="맑은 고딕" pitchFamily="50" charset="-127"/>
              </a:rPr>
              <a:t>1</a:t>
            </a:r>
            <a:r>
              <a:rPr lang="ko-KR" altLang="en-US">
                <a:latin typeface="맑은 고딕" pitchFamily="50" charset="-127"/>
                <a:ea typeface="맑은 고딕" pitchFamily="50" charset="-127"/>
              </a:rPr>
              <a:t>인당 소비량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차트작업!$A$5</c:f>
              <c:strCache>
                <c:ptCount val="1"/>
                <c:pt idx="0">
                  <c:v>쌀생산량</c:v>
                </c:pt>
              </c:strCache>
            </c:strRef>
          </c:tx>
          <c:invertIfNegative val="0"/>
          <c:dLbls>
            <c:dLbl>
              <c:idx val="0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2E7B-407F-8D39-B35A70222D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차트작업!$C$4:$F$4</c:f>
              <c:strCache>
                <c:ptCount val="4"/>
                <c:pt idx="0">
                  <c:v>2002년</c:v>
                </c:pt>
                <c:pt idx="1">
                  <c:v>2007년</c:v>
                </c:pt>
                <c:pt idx="2">
                  <c:v>2012년</c:v>
                </c:pt>
                <c:pt idx="3">
                  <c:v>2017년</c:v>
                </c:pt>
              </c:strCache>
            </c:strRef>
          </c:cat>
          <c:val>
            <c:numRef>
              <c:f>차트작업!$C$5:$F$5</c:f>
              <c:numCache>
                <c:formatCode>#,##0_ </c:formatCode>
                <c:ptCount val="4"/>
                <c:pt idx="0">
                  <c:v>5626</c:v>
                </c:pt>
                <c:pt idx="1">
                  <c:v>5606</c:v>
                </c:pt>
                <c:pt idx="2">
                  <c:v>4695</c:v>
                </c:pt>
                <c:pt idx="3">
                  <c:v>5291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7B-407F-8D39-B35A70222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15392"/>
        <c:axId val="86729472"/>
      </c:barChart>
      <c:lineChart>
        <c:grouping val="standard"/>
        <c:varyColors val="0"/>
        <c:ser>
          <c:idx val="1"/>
          <c:order val="1"/>
          <c:tx>
            <c:strRef>
              <c:f>차트작업!$A$6</c:f>
              <c:strCache>
                <c:ptCount val="1"/>
                <c:pt idx="0">
                  <c:v>1인당 소비량</c:v>
                </c:pt>
              </c:strCache>
            </c:strRef>
          </c:tx>
          <c:cat>
            <c:strRef>
              <c:f>차트작업!$C$4:$F$4</c:f>
              <c:strCache>
                <c:ptCount val="4"/>
                <c:pt idx="0">
                  <c:v>2002년</c:v>
                </c:pt>
                <c:pt idx="1">
                  <c:v>2007년</c:v>
                </c:pt>
                <c:pt idx="2">
                  <c:v>2012년</c:v>
                </c:pt>
                <c:pt idx="3">
                  <c:v>2017년</c:v>
                </c:pt>
              </c:strCache>
            </c:strRef>
          </c:cat>
          <c:val>
            <c:numRef>
              <c:f>차트작업!$C$6:$F$6</c:f>
              <c:numCache>
                <c:formatCode>0.0_ </c:formatCode>
                <c:ptCount val="4"/>
                <c:pt idx="0">
                  <c:v>128.1</c:v>
                </c:pt>
                <c:pt idx="1">
                  <c:v>119.6</c:v>
                </c:pt>
                <c:pt idx="2">
                  <c:v>106.5</c:v>
                </c:pt>
                <c:pt idx="3">
                  <c:v>88.9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7B-407F-8D39-B35A70222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32800"/>
        <c:axId val="86731008"/>
      </c:lineChart>
      <c:catAx>
        <c:axId val="8671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6729472"/>
        <c:crosses val="autoZero"/>
        <c:auto val="1"/>
        <c:lblAlgn val="ctr"/>
        <c:lblOffset val="100"/>
        <c:noMultiLvlLbl val="0"/>
      </c:catAx>
      <c:valAx>
        <c:axId val="86729472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86715392"/>
        <c:crosses val="autoZero"/>
        <c:crossBetween val="between"/>
      </c:valAx>
      <c:valAx>
        <c:axId val="86731008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86732800"/>
        <c:crosses val="max"/>
        <c:crossBetween val="between"/>
      </c:valAx>
      <c:catAx>
        <c:axId val="8673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73100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</xdr:colOff>
      <xdr:row>6</xdr:row>
      <xdr:rowOff>1</xdr:rowOff>
    </xdr:from>
    <xdr:to>
      <xdr:col>9</xdr:col>
      <xdr:colOff>1</xdr:colOff>
      <xdr:row>9</xdr:row>
      <xdr:rowOff>0</xdr:rowOff>
    </xdr:to>
    <xdr:sp macro="[0]!백분율" textlink="">
      <xdr:nvSpPr>
        <xdr:cNvPr id="2" name="모서리가 접힌 도형 1"/>
        <xdr:cNvSpPr/>
      </xdr:nvSpPr>
      <xdr:spPr>
        <a:xfrm>
          <a:off x="5734051" y="1447801"/>
          <a:ext cx="1371600" cy="62864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백분율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7</xdr:row>
      <xdr:rowOff>38099</xdr:rowOff>
    </xdr:from>
    <xdr:to>
      <xdr:col>5</xdr:col>
      <xdr:colOff>1143000</xdr:colOff>
      <xdr:row>26</xdr:row>
      <xdr:rowOff>171450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/>
  </sheetViews>
  <sheetFormatPr defaultRowHeight="16.5" x14ac:dyDescent="0.3"/>
  <cols>
    <col min="1" max="1" width="9.125" bestFit="1" customWidth="1"/>
    <col min="2" max="2" width="20.5" bestFit="1" customWidth="1"/>
    <col min="3" max="3" width="15" bestFit="1" customWidth="1"/>
    <col min="4" max="4" width="17.375" bestFit="1" customWidth="1"/>
    <col min="5" max="5" width="9.375" bestFit="1" customWidth="1"/>
    <col min="6" max="6" width="11" bestFit="1" customWidth="1"/>
  </cols>
  <sheetData>
    <row r="1" spans="1:6" x14ac:dyDescent="0.3">
      <c r="A1" s="56" t="s">
        <v>272</v>
      </c>
      <c r="B1" s="56"/>
      <c r="C1" s="56"/>
      <c r="D1" s="56"/>
      <c r="E1" s="56"/>
      <c r="F1" s="56"/>
    </row>
    <row r="3" spans="1:6" x14ac:dyDescent="0.3">
      <c r="A3" s="56" t="s">
        <v>230</v>
      </c>
      <c r="B3" s="56" t="s">
        <v>273</v>
      </c>
      <c r="C3" s="56" t="s">
        <v>231</v>
      </c>
      <c r="D3" s="56" t="s">
        <v>232</v>
      </c>
      <c r="E3" s="56" t="s">
        <v>233</v>
      </c>
      <c r="F3" s="56" t="s">
        <v>234</v>
      </c>
    </row>
    <row r="4" spans="1:6" x14ac:dyDescent="0.3">
      <c r="A4" s="56" t="s">
        <v>235</v>
      </c>
      <c r="B4" s="56" t="s">
        <v>236</v>
      </c>
      <c r="C4" s="56" t="s">
        <v>237</v>
      </c>
      <c r="D4" s="56" t="s">
        <v>238</v>
      </c>
      <c r="E4" s="59">
        <v>75000</v>
      </c>
      <c r="F4" s="56" t="s">
        <v>239</v>
      </c>
    </row>
    <row r="5" spans="1:6" x14ac:dyDescent="0.3">
      <c r="A5" s="56" t="s">
        <v>240</v>
      </c>
      <c r="B5" s="56" t="s">
        <v>241</v>
      </c>
      <c r="C5" s="56" t="s">
        <v>242</v>
      </c>
      <c r="D5" s="56" t="s">
        <v>238</v>
      </c>
      <c r="E5" s="59">
        <v>86000</v>
      </c>
      <c r="F5" s="56" t="s">
        <v>243</v>
      </c>
    </row>
    <row r="6" spans="1:6" x14ac:dyDescent="0.3">
      <c r="A6" s="56" t="s">
        <v>244</v>
      </c>
      <c r="B6" s="56" t="s">
        <v>245</v>
      </c>
      <c r="C6" s="56" t="s">
        <v>246</v>
      </c>
      <c r="D6" s="56" t="s">
        <v>247</v>
      </c>
      <c r="E6" s="59">
        <v>39000</v>
      </c>
      <c r="F6" s="56" t="s">
        <v>248</v>
      </c>
    </row>
    <row r="7" spans="1:6" x14ac:dyDescent="0.3">
      <c r="A7" s="56" t="s">
        <v>249</v>
      </c>
      <c r="B7" s="56" t="s">
        <v>250</v>
      </c>
      <c r="C7" s="56" t="s">
        <v>251</v>
      </c>
      <c r="D7" s="56" t="s">
        <v>238</v>
      </c>
      <c r="E7" s="59">
        <v>220000</v>
      </c>
      <c r="F7" s="56" t="s">
        <v>252</v>
      </c>
    </row>
    <row r="8" spans="1:6" x14ac:dyDescent="0.3">
      <c r="A8" s="56" t="s">
        <v>253</v>
      </c>
      <c r="B8" s="56" t="s">
        <v>254</v>
      </c>
      <c r="C8" s="56" t="s">
        <v>255</v>
      </c>
      <c r="D8" s="56" t="s">
        <v>256</v>
      </c>
      <c r="E8" s="59">
        <v>150000</v>
      </c>
      <c r="F8" s="56" t="s">
        <v>257</v>
      </c>
    </row>
    <row r="9" spans="1:6" x14ac:dyDescent="0.3">
      <c r="A9" s="56" t="s">
        <v>258</v>
      </c>
      <c r="B9" s="56" t="s">
        <v>259</v>
      </c>
      <c r="C9" s="56" t="s">
        <v>260</v>
      </c>
      <c r="D9" s="56" t="s">
        <v>261</v>
      </c>
      <c r="E9" s="59">
        <v>50000</v>
      </c>
      <c r="F9" s="56" t="s">
        <v>262</v>
      </c>
    </row>
    <row r="10" spans="1:6" x14ac:dyDescent="0.3">
      <c r="A10" s="56" t="s">
        <v>263</v>
      </c>
      <c r="B10" s="56" t="s">
        <v>264</v>
      </c>
      <c r="C10" s="56" t="s">
        <v>265</v>
      </c>
      <c r="D10" s="56" t="s">
        <v>266</v>
      </c>
      <c r="E10" s="59">
        <v>66000</v>
      </c>
      <c r="F10" s="56" t="s">
        <v>239</v>
      </c>
    </row>
    <row r="11" spans="1:6" x14ac:dyDescent="0.3">
      <c r="A11" s="56" t="s">
        <v>267</v>
      </c>
      <c r="B11" s="56" t="s">
        <v>268</v>
      </c>
      <c r="C11" s="56" t="s">
        <v>269</v>
      </c>
      <c r="D11" s="56" t="s">
        <v>270</v>
      </c>
      <c r="E11" s="59">
        <v>77000</v>
      </c>
      <c r="F11" s="56" t="s">
        <v>271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3"/>
  <sheetViews>
    <sheetView zoomScaleNormal="100" workbookViewId="0">
      <selection activeCell="W32" sqref="W32"/>
    </sheetView>
  </sheetViews>
  <sheetFormatPr defaultRowHeight="16.5" x14ac:dyDescent="0.3"/>
  <cols>
    <col min="1" max="1" width="13.75" bestFit="1" customWidth="1"/>
    <col min="2" max="2" width="9.75" bestFit="1" customWidth="1"/>
    <col min="6" max="6" width="16.875" bestFit="1" customWidth="1"/>
  </cols>
  <sheetData>
    <row r="1" spans="1:6" ht="31.5" x14ac:dyDescent="0.3">
      <c r="A1" s="79" t="s">
        <v>0</v>
      </c>
      <c r="B1" s="79"/>
      <c r="C1" s="79"/>
      <c r="D1" s="79"/>
      <c r="E1" s="79"/>
      <c r="F1" s="79"/>
    </row>
    <row r="3" spans="1:6" x14ac:dyDescent="0.3">
      <c r="F3" s="60">
        <v>44474</v>
      </c>
    </row>
    <row r="4" spans="1:6" x14ac:dyDescent="0.3">
      <c r="A4" s="57" t="s">
        <v>1</v>
      </c>
      <c r="B4" s="57" t="s">
        <v>2</v>
      </c>
      <c r="C4" s="57" t="s">
        <v>3</v>
      </c>
      <c r="D4" s="57" t="s">
        <v>4</v>
      </c>
      <c r="E4" s="57" t="s">
        <v>5</v>
      </c>
      <c r="F4" s="57" t="s">
        <v>6</v>
      </c>
    </row>
    <row r="5" spans="1:6" x14ac:dyDescent="0.3">
      <c r="A5" s="61" t="s">
        <v>7</v>
      </c>
      <c r="B5" s="62">
        <v>40000</v>
      </c>
      <c r="C5" s="58">
        <v>550</v>
      </c>
      <c r="D5" s="58">
        <v>500</v>
      </c>
      <c r="E5" s="63">
        <v>0.1</v>
      </c>
      <c r="F5" s="62">
        <v>18000000</v>
      </c>
    </row>
    <row r="6" spans="1:6" x14ac:dyDescent="0.3">
      <c r="A6" s="61" t="s">
        <v>8</v>
      </c>
      <c r="B6" s="62">
        <v>5500</v>
      </c>
      <c r="C6" s="58">
        <v>350</v>
      </c>
      <c r="D6" s="58">
        <v>325</v>
      </c>
      <c r="E6" s="63">
        <v>0.05</v>
      </c>
      <c r="F6" s="62">
        <v>1698125</v>
      </c>
    </row>
    <row r="7" spans="1:6" x14ac:dyDescent="0.3">
      <c r="A7" s="61" t="s">
        <v>9</v>
      </c>
      <c r="B7" s="62">
        <v>8000</v>
      </c>
      <c r="C7" s="58">
        <v>300</v>
      </c>
      <c r="D7" s="58">
        <v>350</v>
      </c>
      <c r="E7" s="63">
        <v>0.15</v>
      </c>
      <c r="F7" s="62">
        <v>2380000</v>
      </c>
    </row>
    <row r="8" spans="1:6" x14ac:dyDescent="0.3">
      <c r="A8" s="61" t="s">
        <v>10</v>
      </c>
      <c r="B8" s="62">
        <v>5000</v>
      </c>
      <c r="C8" s="58">
        <v>660</v>
      </c>
      <c r="D8" s="58">
        <v>590</v>
      </c>
      <c r="E8" s="63">
        <v>0.1</v>
      </c>
      <c r="F8" s="62">
        <v>2655000</v>
      </c>
    </row>
    <row r="9" spans="1:6" x14ac:dyDescent="0.3">
      <c r="A9" s="61" t="s">
        <v>11</v>
      </c>
      <c r="B9" s="62">
        <v>28000</v>
      </c>
      <c r="C9" s="58">
        <v>540</v>
      </c>
      <c r="D9" s="58">
        <v>515</v>
      </c>
      <c r="E9" s="63">
        <v>0.15</v>
      </c>
      <c r="F9" s="62">
        <v>12257000</v>
      </c>
    </row>
    <row r="10" spans="1:6" x14ac:dyDescent="0.3">
      <c r="A10" s="61" t="s">
        <v>12</v>
      </c>
      <c r="B10" s="62">
        <v>22000</v>
      </c>
      <c r="C10" s="58">
        <v>500</v>
      </c>
      <c r="D10" s="58">
        <v>360</v>
      </c>
      <c r="E10" s="63">
        <v>0.1</v>
      </c>
      <c r="F10" s="62">
        <v>7128000</v>
      </c>
    </row>
    <row r="11" spans="1:6" x14ac:dyDescent="0.3">
      <c r="A11" s="61" t="s">
        <v>13</v>
      </c>
      <c r="B11" s="62">
        <v>10000</v>
      </c>
      <c r="C11" s="58">
        <v>700</v>
      </c>
      <c r="D11" s="58">
        <v>723</v>
      </c>
      <c r="E11" s="63">
        <v>7.0000000000000007E-2</v>
      </c>
      <c r="F11" s="62">
        <v>6723900</v>
      </c>
    </row>
    <row r="12" spans="1:6" x14ac:dyDescent="0.3">
      <c r="A12" s="61" t="s">
        <v>14</v>
      </c>
      <c r="B12" s="62">
        <v>28000</v>
      </c>
      <c r="C12" s="58">
        <v>450</v>
      </c>
      <c r="D12" s="58">
        <v>243</v>
      </c>
      <c r="E12" s="63">
        <v>0.04</v>
      </c>
      <c r="F12" s="62">
        <v>6531840</v>
      </c>
    </row>
    <row r="13" spans="1:6" x14ac:dyDescent="0.3">
      <c r="A13" s="61" t="s">
        <v>15</v>
      </c>
      <c r="B13" s="64"/>
      <c r="C13" s="64"/>
      <c r="D13" s="64"/>
      <c r="E13" s="64"/>
      <c r="F13" s="62">
        <v>57373865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zoomScaleNormal="100" workbookViewId="0">
      <selection activeCell="A29" sqref="A29"/>
    </sheetView>
  </sheetViews>
  <sheetFormatPr defaultRowHeight="16.5" x14ac:dyDescent="0.3"/>
  <cols>
    <col min="1" max="1" width="12.625" style="56" customWidth="1"/>
    <col min="2" max="2" width="9" style="56"/>
    <col min="3" max="3" width="10.625" style="56" customWidth="1"/>
    <col min="4" max="4" width="9" style="56"/>
    <col min="5" max="7" width="10.625" style="56" customWidth="1"/>
  </cols>
  <sheetData>
    <row r="1" spans="1:7" ht="33.75" x14ac:dyDescent="0.3">
      <c r="A1" s="72" t="s">
        <v>16</v>
      </c>
      <c r="B1" s="72"/>
      <c r="C1" s="72"/>
      <c r="D1" s="72"/>
      <c r="E1" s="72"/>
      <c r="F1" s="72"/>
      <c r="G1" s="72"/>
    </row>
    <row r="3" spans="1:7" x14ac:dyDescent="0.3">
      <c r="A3" s="1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</row>
    <row r="4" spans="1:7" x14ac:dyDescent="0.3">
      <c r="A4" s="3">
        <v>44399</v>
      </c>
      <c r="B4" s="1" t="s">
        <v>24</v>
      </c>
      <c r="C4" s="1" t="s">
        <v>25</v>
      </c>
      <c r="D4" s="1" t="s">
        <v>26</v>
      </c>
      <c r="E4" s="2">
        <v>4000</v>
      </c>
      <c r="F4" s="2">
        <v>144</v>
      </c>
      <c r="G4" s="2">
        <f>E4*F4</f>
        <v>576000</v>
      </c>
    </row>
    <row r="5" spans="1:7" x14ac:dyDescent="0.3">
      <c r="A5" s="3">
        <v>44400</v>
      </c>
      <c r="B5" s="1" t="s">
        <v>24</v>
      </c>
      <c r="C5" s="1" t="s">
        <v>25</v>
      </c>
      <c r="D5" s="1" t="s">
        <v>27</v>
      </c>
      <c r="E5" s="2">
        <v>4000</v>
      </c>
      <c r="F5" s="2">
        <v>135</v>
      </c>
      <c r="G5" s="2">
        <f t="shared" ref="G5:G16" si="0">E5*F5</f>
        <v>540000</v>
      </c>
    </row>
    <row r="6" spans="1:7" x14ac:dyDescent="0.3">
      <c r="A6" s="3">
        <v>44401</v>
      </c>
      <c r="B6" s="1" t="s">
        <v>24</v>
      </c>
      <c r="C6" s="1" t="s">
        <v>25</v>
      </c>
      <c r="D6" s="1" t="s">
        <v>27</v>
      </c>
      <c r="E6" s="2">
        <v>4000</v>
      </c>
      <c r="F6" s="2">
        <v>125</v>
      </c>
      <c r="G6" s="2">
        <f t="shared" si="0"/>
        <v>500000</v>
      </c>
    </row>
    <row r="7" spans="1:7" x14ac:dyDescent="0.3">
      <c r="A7" s="3">
        <v>44417</v>
      </c>
      <c r="B7" s="1" t="s">
        <v>28</v>
      </c>
      <c r="C7" s="1" t="s">
        <v>29</v>
      </c>
      <c r="D7" s="1" t="s">
        <v>27</v>
      </c>
      <c r="E7" s="2">
        <v>4500</v>
      </c>
      <c r="F7" s="2">
        <v>117</v>
      </c>
      <c r="G7" s="2">
        <f t="shared" si="0"/>
        <v>526500</v>
      </c>
    </row>
    <row r="8" spans="1:7" x14ac:dyDescent="0.3">
      <c r="A8" s="3">
        <v>44449</v>
      </c>
      <c r="B8" s="1" t="s">
        <v>28</v>
      </c>
      <c r="C8" s="1" t="s">
        <v>29</v>
      </c>
      <c r="D8" s="1" t="s">
        <v>26</v>
      </c>
      <c r="E8" s="2">
        <v>4500</v>
      </c>
      <c r="F8" s="2">
        <v>115</v>
      </c>
      <c r="G8" s="2">
        <f t="shared" si="0"/>
        <v>517500</v>
      </c>
    </row>
    <row r="9" spans="1:7" x14ac:dyDescent="0.3">
      <c r="A9" s="3">
        <v>44414</v>
      </c>
      <c r="B9" s="1" t="s">
        <v>30</v>
      </c>
      <c r="C9" s="1" t="s">
        <v>31</v>
      </c>
      <c r="D9" s="1" t="s">
        <v>27</v>
      </c>
      <c r="E9" s="2">
        <v>5500</v>
      </c>
      <c r="F9" s="2">
        <v>124</v>
      </c>
      <c r="G9" s="2">
        <f t="shared" si="0"/>
        <v>682000</v>
      </c>
    </row>
    <row r="10" spans="1:7" x14ac:dyDescent="0.3">
      <c r="A10" s="3">
        <v>44448</v>
      </c>
      <c r="B10" s="1" t="s">
        <v>30</v>
      </c>
      <c r="C10" s="1" t="s">
        <v>31</v>
      </c>
      <c r="D10" s="1" t="s">
        <v>26</v>
      </c>
      <c r="E10" s="2">
        <v>5500</v>
      </c>
      <c r="F10" s="2">
        <v>133</v>
      </c>
      <c r="G10" s="2">
        <f t="shared" si="0"/>
        <v>731500</v>
      </c>
    </row>
    <row r="11" spans="1:7" x14ac:dyDescent="0.3">
      <c r="A11" s="3">
        <v>44478</v>
      </c>
      <c r="B11" s="1" t="s">
        <v>24</v>
      </c>
      <c r="C11" s="1" t="s">
        <v>25</v>
      </c>
      <c r="D11" s="1" t="s">
        <v>27</v>
      </c>
      <c r="E11" s="2">
        <v>4000</v>
      </c>
      <c r="F11" s="2">
        <v>145</v>
      </c>
      <c r="G11" s="2">
        <f t="shared" si="0"/>
        <v>580000</v>
      </c>
    </row>
    <row r="12" spans="1:7" x14ac:dyDescent="0.3">
      <c r="A12" s="3">
        <v>44479</v>
      </c>
      <c r="B12" s="1" t="s">
        <v>30</v>
      </c>
      <c r="C12" s="1" t="s">
        <v>31</v>
      </c>
      <c r="D12" s="1" t="s">
        <v>26</v>
      </c>
      <c r="E12" s="2">
        <v>5500</v>
      </c>
      <c r="F12" s="2">
        <v>135</v>
      </c>
      <c r="G12" s="2">
        <f t="shared" si="0"/>
        <v>742500</v>
      </c>
    </row>
    <row r="13" spans="1:7" x14ac:dyDescent="0.3">
      <c r="A13" s="3">
        <v>44480</v>
      </c>
      <c r="B13" s="1" t="s">
        <v>24</v>
      </c>
      <c r="C13" s="1" t="s">
        <v>25</v>
      </c>
      <c r="D13" s="1" t="s">
        <v>27</v>
      </c>
      <c r="E13" s="2">
        <v>4000</v>
      </c>
      <c r="F13" s="2">
        <v>166</v>
      </c>
      <c r="G13" s="2">
        <f t="shared" si="0"/>
        <v>664000</v>
      </c>
    </row>
    <row r="14" spans="1:7" x14ac:dyDescent="0.3">
      <c r="A14" s="3">
        <v>44511</v>
      </c>
      <c r="B14" s="1" t="s">
        <v>28</v>
      </c>
      <c r="C14" s="1" t="s">
        <v>29</v>
      </c>
      <c r="D14" s="1" t="s">
        <v>27</v>
      </c>
      <c r="E14" s="2">
        <v>4500</v>
      </c>
      <c r="F14" s="2">
        <v>155</v>
      </c>
      <c r="G14" s="2">
        <f t="shared" si="0"/>
        <v>697500</v>
      </c>
    </row>
    <row r="15" spans="1:7" x14ac:dyDescent="0.3">
      <c r="A15" s="3">
        <v>44498</v>
      </c>
      <c r="B15" s="1" t="s">
        <v>30</v>
      </c>
      <c r="C15" s="1" t="s">
        <v>31</v>
      </c>
      <c r="D15" s="1" t="s">
        <v>26</v>
      </c>
      <c r="E15" s="2">
        <v>5500</v>
      </c>
      <c r="F15" s="2">
        <v>67</v>
      </c>
      <c r="G15" s="2">
        <f t="shared" si="0"/>
        <v>368500</v>
      </c>
    </row>
    <row r="16" spans="1:7" x14ac:dyDescent="0.3">
      <c r="A16" s="3">
        <v>44502</v>
      </c>
      <c r="B16" s="1" t="s">
        <v>24</v>
      </c>
      <c r="C16" s="1" t="s">
        <v>25</v>
      </c>
      <c r="D16" s="1" t="s">
        <v>27</v>
      </c>
      <c r="E16" s="2">
        <v>4000</v>
      </c>
      <c r="F16" s="2">
        <v>54</v>
      </c>
      <c r="G16" s="2">
        <f t="shared" si="0"/>
        <v>216000</v>
      </c>
    </row>
    <row r="18" spans="1:7" x14ac:dyDescent="0.3">
      <c r="A18" s="57" t="s">
        <v>20</v>
      </c>
      <c r="B18" s="57" t="s">
        <v>23</v>
      </c>
      <c r="C18"/>
      <c r="D18"/>
      <c r="E18"/>
      <c r="F18"/>
      <c r="G18"/>
    </row>
    <row r="19" spans="1:7" x14ac:dyDescent="0.3">
      <c r="A19" t="s">
        <v>282</v>
      </c>
      <c r="B19" s="7" t="s">
        <v>283</v>
      </c>
      <c r="C19"/>
      <c r="D19"/>
      <c r="E19"/>
      <c r="F19"/>
      <c r="G19"/>
    </row>
    <row r="21" spans="1:7" x14ac:dyDescent="0.3">
      <c r="A21" s="57" t="s">
        <v>17</v>
      </c>
      <c r="B21" s="57" t="s">
        <v>18</v>
      </c>
      <c r="C21" s="57" t="s">
        <v>19</v>
      </c>
      <c r="D21" s="57" t="s">
        <v>20</v>
      </c>
      <c r="E21" s="57" t="s">
        <v>21</v>
      </c>
      <c r="F21" s="57" t="s">
        <v>22</v>
      </c>
      <c r="G21" s="57" t="s">
        <v>23</v>
      </c>
    </row>
    <row r="22" spans="1:7" x14ac:dyDescent="0.3">
      <c r="A22" s="3">
        <v>44414</v>
      </c>
      <c r="B22" s="57" t="s">
        <v>30</v>
      </c>
      <c r="C22" s="57" t="s">
        <v>31</v>
      </c>
      <c r="D22" s="57" t="s">
        <v>27</v>
      </c>
      <c r="E22" s="2">
        <v>5500</v>
      </c>
      <c r="F22" s="2">
        <v>124</v>
      </c>
      <c r="G22" s="2">
        <v>682000</v>
      </c>
    </row>
    <row r="23" spans="1:7" x14ac:dyDescent="0.3">
      <c r="A23" s="3">
        <v>44478</v>
      </c>
      <c r="B23" s="57" t="s">
        <v>24</v>
      </c>
      <c r="C23" s="57" t="s">
        <v>25</v>
      </c>
      <c r="D23" s="57" t="s">
        <v>27</v>
      </c>
      <c r="E23" s="2">
        <v>4000</v>
      </c>
      <c r="F23" s="2">
        <v>145</v>
      </c>
      <c r="G23" s="2">
        <v>580000</v>
      </c>
    </row>
    <row r="24" spans="1:7" x14ac:dyDescent="0.3">
      <c r="A24" s="3">
        <v>44480</v>
      </c>
      <c r="B24" s="57" t="s">
        <v>24</v>
      </c>
      <c r="C24" s="57" t="s">
        <v>25</v>
      </c>
      <c r="D24" s="57" t="s">
        <v>27</v>
      </c>
      <c r="E24" s="2">
        <v>4000</v>
      </c>
      <c r="F24" s="2">
        <v>166</v>
      </c>
      <c r="G24" s="2">
        <v>664000</v>
      </c>
    </row>
    <row r="25" spans="1:7" x14ac:dyDescent="0.3">
      <c r="A25" s="3">
        <v>44511</v>
      </c>
      <c r="B25" s="57" t="s">
        <v>28</v>
      </c>
      <c r="C25" s="57" t="s">
        <v>29</v>
      </c>
      <c r="D25" s="57" t="s">
        <v>27</v>
      </c>
      <c r="E25" s="2">
        <v>4500</v>
      </c>
      <c r="F25" s="2">
        <v>155</v>
      </c>
      <c r="G25" s="2">
        <v>697500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zoomScaleNormal="100" workbookViewId="0">
      <selection activeCell="D3" sqref="D3"/>
    </sheetView>
  </sheetViews>
  <sheetFormatPr defaultRowHeight="16.5" x14ac:dyDescent="0.3"/>
  <cols>
    <col min="2" max="2" width="11" bestFit="1" customWidth="1"/>
    <col min="4" max="4" width="10.875" bestFit="1" customWidth="1"/>
    <col min="11" max="11" width="9" customWidth="1"/>
  </cols>
  <sheetData>
    <row r="1" spans="1:13" x14ac:dyDescent="0.3">
      <c r="A1" t="s">
        <v>32</v>
      </c>
      <c r="B1" s="53"/>
      <c r="F1" t="s">
        <v>33</v>
      </c>
      <c r="G1" s="53"/>
      <c r="K1" s="4" t="s">
        <v>204</v>
      </c>
    </row>
    <row r="2" spans="1:13" x14ac:dyDescent="0.3">
      <c r="A2" s="1" t="s">
        <v>34</v>
      </c>
      <c r="B2" s="1" t="s">
        <v>35</v>
      </c>
      <c r="C2" s="1" t="s">
        <v>36</v>
      </c>
      <c r="D2" s="55" t="s">
        <v>37</v>
      </c>
      <c r="F2" s="1" t="s">
        <v>38</v>
      </c>
      <c r="G2" s="1" t="s">
        <v>39</v>
      </c>
      <c r="H2" s="1" t="s">
        <v>40</v>
      </c>
      <c r="I2" s="55" t="s">
        <v>41</v>
      </c>
      <c r="J2" s="7"/>
      <c r="K2" s="1" t="s">
        <v>42</v>
      </c>
      <c r="L2" s="1" t="s">
        <v>43</v>
      </c>
    </row>
    <row r="3" spans="1:13" x14ac:dyDescent="0.3">
      <c r="A3" s="1" t="s">
        <v>44</v>
      </c>
      <c r="B3" s="1">
        <v>65</v>
      </c>
      <c r="C3" s="1">
        <v>75</v>
      </c>
      <c r="D3" s="57" t="str">
        <f>IF(AND(AVERAGE(B3:C3)&gt;=60,NOT(OR(B3&lt;40,C3&lt;40))),"합격","불합격")</f>
        <v>합격</v>
      </c>
      <c r="F3" s="1">
        <v>1</v>
      </c>
      <c r="G3" s="1" t="s">
        <v>45</v>
      </c>
      <c r="H3" s="52" t="s">
        <v>205</v>
      </c>
      <c r="I3" s="57" t="str">
        <f>VLOOKUP(MID(H3,2,1),$K$3:$L$8,2,0)</f>
        <v>동호중</v>
      </c>
      <c r="J3" s="5"/>
      <c r="K3" s="52" t="s">
        <v>206</v>
      </c>
      <c r="L3" s="1" t="s">
        <v>46</v>
      </c>
    </row>
    <row r="4" spans="1:13" x14ac:dyDescent="0.3">
      <c r="A4" s="1" t="s">
        <v>47</v>
      </c>
      <c r="B4" s="1">
        <v>77</v>
      </c>
      <c r="C4" s="1">
        <v>25</v>
      </c>
      <c r="D4" s="57" t="str">
        <f t="shared" ref="D4:D8" si="0">IF(AND(AVERAGE(B4:C4)&gt;=60,NOT(OR(B4&lt;40,C4&lt;40))),"합격","불합격")</f>
        <v>불합격</v>
      </c>
      <c r="F4" s="1">
        <v>2</v>
      </c>
      <c r="G4" s="1" t="s">
        <v>48</v>
      </c>
      <c r="H4" s="52" t="s">
        <v>207</v>
      </c>
      <c r="I4" s="57" t="str">
        <f t="shared" ref="I4:I8" si="1">VLOOKUP(MID(H4,2,1),$K$3:$L$8,2,0)</f>
        <v>성동여중</v>
      </c>
      <c r="J4" s="5"/>
      <c r="K4" s="52" t="s">
        <v>208</v>
      </c>
      <c r="L4" s="1" t="s">
        <v>49</v>
      </c>
    </row>
    <row r="5" spans="1:13" x14ac:dyDescent="0.3">
      <c r="A5" s="1" t="s">
        <v>50</v>
      </c>
      <c r="B5" s="1">
        <v>85</v>
      </c>
      <c r="C5" s="1">
        <v>62</v>
      </c>
      <c r="D5" s="57" t="str">
        <f t="shared" si="0"/>
        <v>합격</v>
      </c>
      <c r="F5" s="1">
        <v>3</v>
      </c>
      <c r="G5" s="1" t="s">
        <v>51</v>
      </c>
      <c r="H5" s="52" t="s">
        <v>209</v>
      </c>
      <c r="I5" s="57" t="str">
        <f t="shared" si="1"/>
        <v>상공중</v>
      </c>
      <c r="J5" s="5"/>
      <c r="K5" s="52" t="s">
        <v>210</v>
      </c>
      <c r="L5" s="1" t="s">
        <v>52</v>
      </c>
    </row>
    <row r="6" spans="1:13" x14ac:dyDescent="0.3">
      <c r="A6" s="1" t="s">
        <v>53</v>
      </c>
      <c r="B6" s="1">
        <v>90</v>
      </c>
      <c r="C6" s="1">
        <v>88</v>
      </c>
      <c r="D6" s="57" t="str">
        <f t="shared" si="0"/>
        <v>합격</v>
      </c>
      <c r="F6" s="1">
        <v>4</v>
      </c>
      <c r="G6" s="1" t="s">
        <v>54</v>
      </c>
      <c r="H6" s="52" t="s">
        <v>211</v>
      </c>
      <c r="I6" s="57" t="str">
        <f t="shared" si="1"/>
        <v>상계중</v>
      </c>
      <c r="J6" s="5"/>
      <c r="K6" s="52" t="s">
        <v>212</v>
      </c>
      <c r="L6" s="1" t="s">
        <v>55</v>
      </c>
    </row>
    <row r="7" spans="1:13" x14ac:dyDescent="0.3">
      <c r="A7" s="1" t="s">
        <v>56</v>
      </c>
      <c r="B7" s="1">
        <v>45</v>
      </c>
      <c r="C7" s="1">
        <v>55</v>
      </c>
      <c r="D7" s="57" t="str">
        <f t="shared" si="0"/>
        <v>불합격</v>
      </c>
      <c r="F7" s="1">
        <v>5</v>
      </c>
      <c r="G7" s="1" t="s">
        <v>57</v>
      </c>
      <c r="H7" s="52" t="s">
        <v>213</v>
      </c>
      <c r="I7" s="57" t="str">
        <f t="shared" si="1"/>
        <v>명성중</v>
      </c>
      <c r="J7" s="5"/>
      <c r="K7" s="52" t="s">
        <v>214</v>
      </c>
      <c r="L7" s="1" t="s">
        <v>58</v>
      </c>
    </row>
    <row r="8" spans="1:13" x14ac:dyDescent="0.3">
      <c r="A8" s="1" t="s">
        <v>59</v>
      </c>
      <c r="B8" s="1">
        <v>50</v>
      </c>
      <c r="C8" s="1">
        <v>78</v>
      </c>
      <c r="D8" s="57" t="str">
        <f t="shared" si="0"/>
        <v>합격</v>
      </c>
      <c r="F8" s="1">
        <v>6</v>
      </c>
      <c r="G8" s="1" t="s">
        <v>60</v>
      </c>
      <c r="H8" s="52" t="s">
        <v>215</v>
      </c>
      <c r="I8" s="57" t="str">
        <f t="shared" si="1"/>
        <v>대한중</v>
      </c>
      <c r="J8" s="5"/>
      <c r="K8" s="52" t="s">
        <v>216</v>
      </c>
      <c r="L8" s="1" t="s">
        <v>61</v>
      </c>
    </row>
    <row r="9" spans="1:13" x14ac:dyDescent="0.3">
      <c r="A9" s="5"/>
      <c r="B9" s="5"/>
      <c r="C9" s="5"/>
      <c r="D9" s="5"/>
      <c r="F9" s="5"/>
      <c r="G9" s="5"/>
      <c r="H9" s="5"/>
      <c r="I9" s="5"/>
      <c r="J9" s="5"/>
      <c r="L9" s="5"/>
      <c r="M9" s="5"/>
    </row>
    <row r="11" spans="1:13" x14ac:dyDescent="0.3">
      <c r="A11" t="s">
        <v>62</v>
      </c>
      <c r="B11" s="53"/>
      <c r="F11" t="s">
        <v>63</v>
      </c>
      <c r="G11" s="54"/>
    </row>
    <row r="12" spans="1:13" x14ac:dyDescent="0.3">
      <c r="A12" s="1" t="s">
        <v>34</v>
      </c>
      <c r="B12" s="1" t="s">
        <v>64</v>
      </c>
      <c r="C12" s="1" t="s">
        <v>65</v>
      </c>
      <c r="D12" s="1" t="s">
        <v>66</v>
      </c>
      <c r="F12" s="1" t="s">
        <v>39</v>
      </c>
      <c r="G12" s="1" t="s">
        <v>217</v>
      </c>
      <c r="H12" s="6" t="s">
        <v>218</v>
      </c>
      <c r="I12" s="1" t="s">
        <v>219</v>
      </c>
      <c r="J12" s="1" t="s">
        <v>220</v>
      </c>
      <c r="L12" s="8"/>
      <c r="M12" s="8"/>
    </row>
    <row r="13" spans="1:13" x14ac:dyDescent="0.3">
      <c r="A13" s="1" t="s">
        <v>67</v>
      </c>
      <c r="B13" s="1" t="s">
        <v>68</v>
      </c>
      <c r="C13" s="1">
        <v>45</v>
      </c>
      <c r="D13" s="2">
        <v>2592000</v>
      </c>
      <c r="F13" s="1" t="s">
        <v>69</v>
      </c>
      <c r="G13" s="1" t="s">
        <v>70</v>
      </c>
      <c r="H13" s="1" t="s">
        <v>221</v>
      </c>
      <c r="I13" s="1">
        <v>42</v>
      </c>
      <c r="J13" s="1">
        <v>77</v>
      </c>
      <c r="L13" s="8"/>
      <c r="M13" s="8"/>
    </row>
    <row r="14" spans="1:13" x14ac:dyDescent="0.3">
      <c r="A14" s="1" t="s">
        <v>71</v>
      </c>
      <c r="B14" s="1" t="s">
        <v>72</v>
      </c>
      <c r="C14" s="1">
        <v>33</v>
      </c>
      <c r="D14" s="2">
        <v>1900800</v>
      </c>
      <c r="F14" s="1" t="s">
        <v>73</v>
      </c>
      <c r="G14" s="1" t="s">
        <v>74</v>
      </c>
      <c r="H14" s="1" t="s">
        <v>222</v>
      </c>
      <c r="I14" s="1">
        <v>102</v>
      </c>
      <c r="J14" s="1">
        <v>88</v>
      </c>
    </row>
    <row r="15" spans="1:13" x14ac:dyDescent="0.3">
      <c r="A15" s="1" t="s">
        <v>75</v>
      </c>
      <c r="B15" s="1" t="s">
        <v>68</v>
      </c>
      <c r="C15" s="1">
        <v>25</v>
      </c>
      <c r="D15" s="2">
        <v>1440000</v>
      </c>
      <c r="F15" s="1" t="s">
        <v>76</v>
      </c>
      <c r="G15" s="1" t="s">
        <v>223</v>
      </c>
      <c r="H15" s="1" t="s">
        <v>224</v>
      </c>
      <c r="I15" s="1">
        <v>122</v>
      </c>
      <c r="J15" s="1">
        <v>109</v>
      </c>
    </row>
    <row r="16" spans="1:13" x14ac:dyDescent="0.3">
      <c r="A16" s="1" t="s">
        <v>77</v>
      </c>
      <c r="B16" s="1" t="s">
        <v>72</v>
      </c>
      <c r="C16" s="1">
        <v>36</v>
      </c>
      <c r="D16" s="2">
        <v>2073600</v>
      </c>
      <c r="F16" s="1" t="s">
        <v>78</v>
      </c>
      <c r="G16" s="1" t="s">
        <v>74</v>
      </c>
      <c r="H16" s="1" t="s">
        <v>225</v>
      </c>
      <c r="I16" s="1">
        <v>89</v>
      </c>
      <c r="J16" s="1">
        <v>56</v>
      </c>
    </row>
    <row r="17" spans="1:10" x14ac:dyDescent="0.3">
      <c r="A17" s="1" t="s">
        <v>79</v>
      </c>
      <c r="B17" s="1" t="s">
        <v>68</v>
      </c>
      <c r="C17" s="1">
        <v>23</v>
      </c>
      <c r="D17" s="2">
        <v>1324800</v>
      </c>
      <c r="F17" s="1" t="s">
        <v>80</v>
      </c>
      <c r="G17" s="1" t="s">
        <v>81</v>
      </c>
      <c r="H17" s="1" t="s">
        <v>226</v>
      </c>
      <c r="I17" s="1">
        <v>90</v>
      </c>
      <c r="J17" s="1">
        <v>78</v>
      </c>
    </row>
    <row r="18" spans="1:10" x14ac:dyDescent="0.3">
      <c r="A18" s="1" t="s">
        <v>82</v>
      </c>
      <c r="B18" s="1" t="s">
        <v>72</v>
      </c>
      <c r="C18" s="1">
        <v>34</v>
      </c>
      <c r="D18" s="2">
        <v>1958400</v>
      </c>
      <c r="F18" s="1" t="s">
        <v>83</v>
      </c>
      <c r="G18" s="1" t="s">
        <v>70</v>
      </c>
      <c r="H18" s="1" t="s">
        <v>227</v>
      </c>
      <c r="I18" s="1">
        <v>105</v>
      </c>
      <c r="J18" s="1">
        <v>44</v>
      </c>
    </row>
    <row r="19" spans="1:10" x14ac:dyDescent="0.3">
      <c r="A19" s="1" t="s">
        <v>84</v>
      </c>
      <c r="B19" s="1" t="s">
        <v>68</v>
      </c>
      <c r="C19" s="1">
        <v>15</v>
      </c>
      <c r="D19" s="2">
        <v>864000</v>
      </c>
      <c r="F19" s="1" t="s">
        <v>85</v>
      </c>
      <c r="G19" s="1" t="s">
        <v>74</v>
      </c>
      <c r="H19" s="1" t="s">
        <v>222</v>
      </c>
      <c r="I19" s="1">
        <v>110</v>
      </c>
      <c r="J19" s="1">
        <v>120</v>
      </c>
    </row>
    <row r="20" spans="1:10" x14ac:dyDescent="0.3">
      <c r="B20" s="73" t="s">
        <v>86</v>
      </c>
      <c r="C20" s="73"/>
      <c r="D20" s="58">
        <f>ROUNDUP(SUMIF(B13:B19,"북부",D13:D19)/COUNTIF(B13:B19,"북부"),-3)</f>
        <v>1556000</v>
      </c>
      <c r="F20" s="1" t="s">
        <v>87</v>
      </c>
      <c r="G20" s="1" t="s">
        <v>228</v>
      </c>
      <c r="H20" s="1" t="s">
        <v>222</v>
      </c>
      <c r="I20" s="1">
        <v>76</v>
      </c>
      <c r="J20" s="1">
        <v>87</v>
      </c>
    </row>
    <row r="21" spans="1:10" x14ac:dyDescent="0.3">
      <c r="H21" s="73" t="s">
        <v>229</v>
      </c>
      <c r="I21" s="73"/>
      <c r="J21" s="57" t="str">
        <f>SUMIFS(J13:J20,G13:G20,"서울",H13:H20,"양천")&amp;"대"</f>
        <v>295대</v>
      </c>
    </row>
    <row r="22" spans="1:10" s="56" customFormat="1" x14ac:dyDescent="0.3">
      <c r="H22" s="7"/>
      <c r="I22" s="7"/>
      <c r="J22" s="5"/>
    </row>
    <row r="24" spans="1:10" x14ac:dyDescent="0.3">
      <c r="A24" t="s">
        <v>88</v>
      </c>
      <c r="B24" s="53"/>
    </row>
    <row r="25" spans="1:10" x14ac:dyDescent="0.3">
      <c r="A25" s="1" t="s">
        <v>39</v>
      </c>
      <c r="B25" s="1" t="s">
        <v>89</v>
      </c>
      <c r="C25" s="1" t="s">
        <v>90</v>
      </c>
      <c r="D25" s="1" t="s">
        <v>91</v>
      </c>
      <c r="E25" s="1" t="s">
        <v>92</v>
      </c>
      <c r="F25" s="1" t="s">
        <v>93</v>
      </c>
      <c r="G25" s="1" t="s">
        <v>94</v>
      </c>
      <c r="H25" s="55" t="s">
        <v>95</v>
      </c>
    </row>
    <row r="26" spans="1:10" x14ac:dyDescent="0.3">
      <c r="A26" s="1" t="s">
        <v>96</v>
      </c>
      <c r="B26" s="1">
        <v>18</v>
      </c>
      <c r="C26" s="1">
        <v>20</v>
      </c>
      <c r="D26" s="1">
        <v>20</v>
      </c>
      <c r="E26" s="1">
        <v>15</v>
      </c>
      <c r="F26" s="1">
        <v>16</v>
      </c>
      <c r="G26" s="1">
        <v>89</v>
      </c>
      <c r="H26" s="57" t="str">
        <f>CHOOSE(_xlfn.RANK.EQ(G26,$G$26:$G$31),"대상","금상","은상","동상","","")</f>
        <v>금상</v>
      </c>
    </row>
    <row r="27" spans="1:10" x14ac:dyDescent="0.3">
      <c r="A27" s="1" t="s">
        <v>97</v>
      </c>
      <c r="B27" s="1">
        <v>18</v>
      </c>
      <c r="C27" s="1">
        <v>18</v>
      </c>
      <c r="D27" s="1">
        <v>20</v>
      </c>
      <c r="E27" s="1">
        <v>0</v>
      </c>
      <c r="F27" s="1">
        <v>18</v>
      </c>
      <c r="G27" s="1">
        <v>74</v>
      </c>
      <c r="H27" s="57" t="str">
        <f t="shared" ref="H27:H31" si="2">CHOOSE(_xlfn.RANK.EQ(G27,$G$26:$G$31),"대상","금상","은상","동상","","")</f>
        <v>은상</v>
      </c>
    </row>
    <row r="28" spans="1:10" x14ac:dyDescent="0.3">
      <c r="A28" s="1" t="s">
        <v>98</v>
      </c>
      <c r="B28" s="1">
        <v>13</v>
      </c>
      <c r="C28" s="1">
        <v>0</v>
      </c>
      <c r="D28" s="1">
        <v>15</v>
      </c>
      <c r="E28" s="1">
        <v>20</v>
      </c>
      <c r="F28" s="1">
        <v>19</v>
      </c>
      <c r="G28" s="1">
        <v>67</v>
      </c>
      <c r="H28" s="57" t="str">
        <f t="shared" si="2"/>
        <v/>
      </c>
    </row>
    <row r="29" spans="1:10" x14ac:dyDescent="0.3">
      <c r="A29" s="1" t="s">
        <v>99</v>
      </c>
      <c r="B29" s="1">
        <v>20</v>
      </c>
      <c r="C29" s="1">
        <v>18</v>
      </c>
      <c r="D29" s="1">
        <v>15</v>
      </c>
      <c r="E29" s="1">
        <v>20</v>
      </c>
      <c r="F29" s="1">
        <v>20</v>
      </c>
      <c r="G29" s="1">
        <v>93</v>
      </c>
      <c r="H29" s="57" t="str">
        <f t="shared" si="2"/>
        <v>대상</v>
      </c>
    </row>
    <row r="30" spans="1:10" x14ac:dyDescent="0.3">
      <c r="A30" s="1" t="s">
        <v>100</v>
      </c>
      <c r="B30" s="1">
        <v>5</v>
      </c>
      <c r="C30" s="1">
        <v>8</v>
      </c>
      <c r="D30" s="1">
        <v>7</v>
      </c>
      <c r="E30" s="1">
        <v>20</v>
      </c>
      <c r="F30" s="1">
        <v>20</v>
      </c>
      <c r="G30" s="1">
        <v>60</v>
      </c>
      <c r="H30" s="57" t="str">
        <f t="shared" si="2"/>
        <v/>
      </c>
    </row>
    <row r="31" spans="1:10" x14ac:dyDescent="0.3">
      <c r="A31" s="1" t="s">
        <v>101</v>
      </c>
      <c r="B31" s="1">
        <v>8</v>
      </c>
      <c r="C31" s="1">
        <v>10</v>
      </c>
      <c r="D31" s="1">
        <v>20</v>
      </c>
      <c r="E31" s="1">
        <v>16</v>
      </c>
      <c r="F31" s="1">
        <v>19</v>
      </c>
      <c r="G31" s="1">
        <v>73</v>
      </c>
      <c r="H31" s="57" t="str">
        <f t="shared" si="2"/>
        <v>동상</v>
      </c>
    </row>
  </sheetData>
  <mergeCells count="2">
    <mergeCell ref="B20:C20"/>
    <mergeCell ref="H21:I21"/>
  </mergeCells>
  <phoneticPr fontId="1" type="noConversion"/>
  <pageMargins left="0.7" right="0.7" top="0.75" bottom="0.75" header="0.3" footer="0.3"/>
  <pageSetup paperSize="9" orientation="portrait" r:id="rId1"/>
  <ignoredErrors>
    <ignoredError sqref="H3:H8 K3:K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"/>
  <sheetViews>
    <sheetView workbookViewId="0">
      <selection activeCell="E5" sqref="E5"/>
    </sheetView>
  </sheetViews>
  <sheetFormatPr defaultRowHeight="16.5" outlineLevelRow="3" x14ac:dyDescent="0.3"/>
  <cols>
    <col min="2" max="2" width="15.25" bestFit="1" customWidth="1"/>
    <col min="3" max="3" width="20.25" bestFit="1" customWidth="1"/>
  </cols>
  <sheetData>
    <row r="1" spans="1:9" ht="31.5" x14ac:dyDescent="0.3">
      <c r="A1" s="74" t="s">
        <v>274</v>
      </c>
      <c r="B1" s="74"/>
      <c r="C1" s="74"/>
      <c r="D1" s="74"/>
      <c r="E1" s="74"/>
      <c r="F1" s="74"/>
      <c r="G1" s="74"/>
      <c r="H1" s="74"/>
      <c r="I1" s="74"/>
    </row>
    <row r="2" spans="1:9" ht="17.25" thickBot="1" x14ac:dyDescent="0.35"/>
    <row r="3" spans="1:9" x14ac:dyDescent="0.3">
      <c r="A3" s="9" t="s">
        <v>102</v>
      </c>
      <c r="B3" s="10" t="s">
        <v>103</v>
      </c>
      <c r="C3" s="10" t="s">
        <v>104</v>
      </c>
      <c r="D3" s="10" t="s">
        <v>105</v>
      </c>
      <c r="E3" s="10" t="s">
        <v>39</v>
      </c>
      <c r="F3" s="10" t="s">
        <v>106</v>
      </c>
      <c r="G3" s="10" t="s">
        <v>107</v>
      </c>
      <c r="H3" s="10" t="s">
        <v>108</v>
      </c>
      <c r="I3" s="11" t="s">
        <v>109</v>
      </c>
    </row>
    <row r="4" spans="1:9" outlineLevel="3" x14ac:dyDescent="0.3">
      <c r="A4" s="12" t="s">
        <v>155</v>
      </c>
      <c r="B4" s="13" t="s">
        <v>156</v>
      </c>
      <c r="C4" s="13" t="s">
        <v>157</v>
      </c>
      <c r="D4" s="14">
        <v>2500</v>
      </c>
      <c r="E4" s="15" t="s">
        <v>158</v>
      </c>
      <c r="F4" s="15" t="s">
        <v>121</v>
      </c>
      <c r="G4" s="15">
        <v>42</v>
      </c>
      <c r="H4" s="16">
        <v>43391</v>
      </c>
      <c r="I4" s="17">
        <v>43397</v>
      </c>
    </row>
    <row r="5" spans="1:9" outlineLevel="3" x14ac:dyDescent="0.3">
      <c r="A5" s="12" t="s">
        <v>159</v>
      </c>
      <c r="B5" s="13" t="s">
        <v>160</v>
      </c>
      <c r="C5" s="13" t="s">
        <v>157</v>
      </c>
      <c r="D5" s="14">
        <v>450</v>
      </c>
      <c r="E5" s="15" t="s">
        <v>161</v>
      </c>
      <c r="F5" s="15" t="s">
        <v>114</v>
      </c>
      <c r="G5" s="15">
        <v>30</v>
      </c>
      <c r="H5" s="16">
        <v>43425</v>
      </c>
      <c r="I5" s="17">
        <v>43434</v>
      </c>
    </row>
    <row r="6" spans="1:9" outlineLevel="3" x14ac:dyDescent="0.3">
      <c r="A6" s="12" t="s">
        <v>165</v>
      </c>
      <c r="B6" s="13" t="s">
        <v>166</v>
      </c>
      <c r="C6" s="13" t="s">
        <v>157</v>
      </c>
      <c r="D6" s="14">
        <v>500</v>
      </c>
      <c r="E6" s="15" t="s">
        <v>167</v>
      </c>
      <c r="F6" s="15" t="s">
        <v>114</v>
      </c>
      <c r="G6" s="15">
        <v>22</v>
      </c>
      <c r="H6" s="16">
        <v>43427</v>
      </c>
      <c r="I6" s="17">
        <v>43429</v>
      </c>
    </row>
    <row r="7" spans="1:9" outlineLevel="3" x14ac:dyDescent="0.3">
      <c r="A7" s="12" t="s">
        <v>171</v>
      </c>
      <c r="B7" s="13" t="s">
        <v>172</v>
      </c>
      <c r="C7" s="13" t="s">
        <v>157</v>
      </c>
      <c r="D7" s="14">
        <v>300</v>
      </c>
      <c r="E7" s="15" t="s">
        <v>173</v>
      </c>
      <c r="F7" s="15" t="s">
        <v>114</v>
      </c>
      <c r="G7" s="15">
        <v>34</v>
      </c>
      <c r="H7" s="16">
        <v>43429</v>
      </c>
      <c r="I7" s="17">
        <v>43431</v>
      </c>
    </row>
    <row r="8" spans="1:9" s="56" customFormat="1" outlineLevel="2" x14ac:dyDescent="0.3">
      <c r="A8" s="12"/>
      <c r="B8" s="13"/>
      <c r="C8" s="65" t="s">
        <v>291</v>
      </c>
      <c r="D8" s="14"/>
      <c r="E8" s="15"/>
      <c r="F8" s="15"/>
      <c r="G8" s="15">
        <f>SUBTOTAL(5,G4:G7)</f>
        <v>22</v>
      </c>
      <c r="H8" s="16"/>
      <c r="I8" s="17"/>
    </row>
    <row r="9" spans="1:9" s="56" customFormat="1" outlineLevel="1" x14ac:dyDescent="0.3">
      <c r="A9" s="12"/>
      <c r="B9" s="13"/>
      <c r="C9" s="65" t="s">
        <v>284</v>
      </c>
      <c r="D9" s="14">
        <f>SUBTOTAL(9,D4:D7)</f>
        <v>3750</v>
      </c>
      <c r="E9" s="15"/>
      <c r="F9" s="15"/>
      <c r="G9" s="15"/>
      <c r="H9" s="16"/>
      <c r="I9" s="17"/>
    </row>
    <row r="10" spans="1:9" outlineLevel="3" x14ac:dyDescent="0.3">
      <c r="A10" s="12" t="s">
        <v>118</v>
      </c>
      <c r="B10" s="13" t="s">
        <v>119</v>
      </c>
      <c r="C10" s="13" t="s">
        <v>120</v>
      </c>
      <c r="D10" s="14">
        <v>1500</v>
      </c>
      <c r="E10" s="15" t="s">
        <v>51</v>
      </c>
      <c r="F10" s="15" t="s">
        <v>121</v>
      </c>
      <c r="G10" s="15">
        <v>23</v>
      </c>
      <c r="H10" s="16">
        <v>43396</v>
      </c>
      <c r="I10" s="17">
        <v>43402</v>
      </c>
    </row>
    <row r="11" spans="1:9" outlineLevel="3" x14ac:dyDescent="0.3">
      <c r="A11" s="12" t="s">
        <v>122</v>
      </c>
      <c r="B11" s="13" t="s">
        <v>123</v>
      </c>
      <c r="C11" s="13" t="s">
        <v>120</v>
      </c>
      <c r="D11" s="14">
        <v>400</v>
      </c>
      <c r="E11" s="15" t="s">
        <v>124</v>
      </c>
      <c r="F11" s="15" t="s">
        <v>121</v>
      </c>
      <c r="G11" s="15">
        <v>45</v>
      </c>
      <c r="H11" s="16">
        <v>43384</v>
      </c>
      <c r="I11" s="17">
        <v>43401</v>
      </c>
    </row>
    <row r="12" spans="1:9" outlineLevel="3" x14ac:dyDescent="0.3">
      <c r="A12" s="12" t="s">
        <v>125</v>
      </c>
      <c r="B12" s="13" t="s">
        <v>126</v>
      </c>
      <c r="C12" s="13" t="s">
        <v>120</v>
      </c>
      <c r="D12" s="14">
        <v>300</v>
      </c>
      <c r="E12" s="15" t="s">
        <v>127</v>
      </c>
      <c r="F12" s="15" t="s">
        <v>121</v>
      </c>
      <c r="G12" s="15">
        <v>33</v>
      </c>
      <c r="H12" s="16">
        <v>43389</v>
      </c>
      <c r="I12" s="17">
        <v>43393</v>
      </c>
    </row>
    <row r="13" spans="1:9" outlineLevel="3" x14ac:dyDescent="0.3">
      <c r="A13" s="12" t="s">
        <v>128</v>
      </c>
      <c r="B13" s="13" t="s">
        <v>129</v>
      </c>
      <c r="C13" s="13" t="s">
        <v>120</v>
      </c>
      <c r="D13" s="14">
        <v>700</v>
      </c>
      <c r="E13" s="15" t="s">
        <v>130</v>
      </c>
      <c r="F13" s="15" t="s">
        <v>121</v>
      </c>
      <c r="G13" s="15">
        <v>56</v>
      </c>
      <c r="H13" s="16">
        <v>43353</v>
      </c>
      <c r="I13" s="17">
        <v>43354</v>
      </c>
    </row>
    <row r="14" spans="1:9" outlineLevel="3" x14ac:dyDescent="0.3">
      <c r="A14" s="12" t="s">
        <v>135</v>
      </c>
      <c r="B14" s="13" t="s">
        <v>136</v>
      </c>
      <c r="C14" s="13" t="s">
        <v>120</v>
      </c>
      <c r="D14" s="14">
        <v>1000</v>
      </c>
      <c r="E14" s="15" t="s">
        <v>137</v>
      </c>
      <c r="F14" s="15" t="s">
        <v>121</v>
      </c>
      <c r="G14" s="15">
        <v>27</v>
      </c>
      <c r="H14" s="16">
        <v>43356</v>
      </c>
      <c r="I14" s="17">
        <v>43358</v>
      </c>
    </row>
    <row r="15" spans="1:9" s="56" customFormat="1" outlineLevel="2" x14ac:dyDescent="0.3">
      <c r="A15" s="12"/>
      <c r="B15" s="13"/>
      <c r="C15" s="65" t="s">
        <v>292</v>
      </c>
      <c r="D15" s="14"/>
      <c r="E15" s="15"/>
      <c r="F15" s="15"/>
      <c r="G15" s="15">
        <f>SUBTOTAL(5,G10:G14)</f>
        <v>23</v>
      </c>
      <c r="H15" s="16"/>
      <c r="I15" s="17"/>
    </row>
    <row r="16" spans="1:9" s="56" customFormat="1" outlineLevel="1" x14ac:dyDescent="0.3">
      <c r="A16" s="12"/>
      <c r="B16" s="13"/>
      <c r="C16" s="65" t="s">
        <v>285</v>
      </c>
      <c r="D16" s="14">
        <f>SUBTOTAL(9,D10:D14)</f>
        <v>3900</v>
      </c>
      <c r="E16" s="15"/>
      <c r="F16" s="15"/>
      <c r="G16" s="15"/>
      <c r="H16" s="16"/>
      <c r="I16" s="17"/>
    </row>
    <row r="17" spans="1:9" outlineLevel="3" x14ac:dyDescent="0.3">
      <c r="A17" s="12" t="s">
        <v>138</v>
      </c>
      <c r="B17" s="13" t="s">
        <v>139</v>
      </c>
      <c r="C17" s="13" t="s">
        <v>140</v>
      </c>
      <c r="D17" s="14">
        <v>450</v>
      </c>
      <c r="E17" s="15" t="s">
        <v>141</v>
      </c>
      <c r="F17" s="15" t="s">
        <v>121</v>
      </c>
      <c r="G17" s="15">
        <v>19</v>
      </c>
      <c r="H17" s="16">
        <v>43358</v>
      </c>
      <c r="I17" s="17">
        <v>43363</v>
      </c>
    </row>
    <row r="18" spans="1:9" outlineLevel="3" x14ac:dyDescent="0.3">
      <c r="A18" s="12" t="s">
        <v>142</v>
      </c>
      <c r="B18" s="13" t="s">
        <v>143</v>
      </c>
      <c r="C18" s="13" t="s">
        <v>140</v>
      </c>
      <c r="D18" s="14">
        <v>500</v>
      </c>
      <c r="E18" s="15" t="s">
        <v>144</v>
      </c>
      <c r="F18" s="15" t="s">
        <v>121</v>
      </c>
      <c r="G18" s="15">
        <v>25</v>
      </c>
      <c r="H18" s="16">
        <v>43387</v>
      </c>
      <c r="I18" s="17">
        <v>43393</v>
      </c>
    </row>
    <row r="19" spans="1:9" outlineLevel="3" x14ac:dyDescent="0.3">
      <c r="A19" s="12" t="s">
        <v>145</v>
      </c>
      <c r="B19" s="13" t="s">
        <v>146</v>
      </c>
      <c r="C19" s="13" t="s">
        <v>140</v>
      </c>
      <c r="D19" s="14">
        <v>300</v>
      </c>
      <c r="E19" s="15" t="s">
        <v>147</v>
      </c>
      <c r="F19" s="15" t="s">
        <v>121</v>
      </c>
      <c r="G19" s="15">
        <v>15</v>
      </c>
      <c r="H19" s="16">
        <v>43388</v>
      </c>
      <c r="I19" s="17">
        <v>43394</v>
      </c>
    </row>
    <row r="20" spans="1:9" outlineLevel="3" x14ac:dyDescent="0.3">
      <c r="A20" s="12" t="s">
        <v>148</v>
      </c>
      <c r="B20" s="13" t="s">
        <v>149</v>
      </c>
      <c r="C20" s="13" t="s">
        <v>140</v>
      </c>
      <c r="D20" s="14">
        <v>250</v>
      </c>
      <c r="E20" s="15" t="s">
        <v>150</v>
      </c>
      <c r="F20" s="15" t="s">
        <v>114</v>
      </c>
      <c r="G20" s="15">
        <v>14</v>
      </c>
      <c r="H20" s="16">
        <v>43389</v>
      </c>
      <c r="I20" s="17">
        <v>43395</v>
      </c>
    </row>
    <row r="21" spans="1:9" s="56" customFormat="1" outlineLevel="2" x14ac:dyDescent="0.3">
      <c r="A21" s="12"/>
      <c r="B21" s="13"/>
      <c r="C21" s="65" t="s">
        <v>293</v>
      </c>
      <c r="D21" s="14"/>
      <c r="E21" s="15"/>
      <c r="F21" s="15"/>
      <c r="G21" s="15">
        <f>SUBTOTAL(5,G17:G20)</f>
        <v>14</v>
      </c>
      <c r="H21" s="16"/>
      <c r="I21" s="17"/>
    </row>
    <row r="22" spans="1:9" s="56" customFormat="1" outlineLevel="1" x14ac:dyDescent="0.3">
      <c r="A22" s="12"/>
      <c r="B22" s="13"/>
      <c r="C22" s="65" t="s">
        <v>286</v>
      </c>
      <c r="D22" s="14">
        <f>SUBTOTAL(9,D17:D20)</f>
        <v>1500</v>
      </c>
      <c r="E22" s="15"/>
      <c r="F22" s="15"/>
      <c r="G22" s="15"/>
      <c r="H22" s="16"/>
      <c r="I22" s="17"/>
    </row>
    <row r="23" spans="1:9" outlineLevel="3" x14ac:dyDescent="0.3">
      <c r="A23" s="12" t="s">
        <v>151</v>
      </c>
      <c r="B23" s="13" t="s">
        <v>152</v>
      </c>
      <c r="C23" s="13" t="s">
        <v>153</v>
      </c>
      <c r="D23" s="14">
        <v>350</v>
      </c>
      <c r="E23" s="15" t="s">
        <v>154</v>
      </c>
      <c r="F23" s="15" t="s">
        <v>121</v>
      </c>
      <c r="G23" s="15">
        <v>34</v>
      </c>
      <c r="H23" s="16">
        <v>43390</v>
      </c>
      <c r="I23" s="17">
        <v>43396</v>
      </c>
    </row>
    <row r="24" spans="1:9" s="56" customFormat="1" outlineLevel="2" x14ac:dyDescent="0.3">
      <c r="A24" s="12"/>
      <c r="B24" s="13"/>
      <c r="C24" s="65" t="s">
        <v>294</v>
      </c>
      <c r="D24" s="14"/>
      <c r="E24" s="15"/>
      <c r="F24" s="15"/>
      <c r="G24" s="15">
        <f>SUBTOTAL(5,G23:G23)</f>
        <v>34</v>
      </c>
      <c r="H24" s="16"/>
      <c r="I24" s="17"/>
    </row>
    <row r="25" spans="1:9" s="56" customFormat="1" outlineLevel="1" x14ac:dyDescent="0.3">
      <c r="A25" s="12"/>
      <c r="B25" s="13"/>
      <c r="C25" s="65" t="s">
        <v>287</v>
      </c>
      <c r="D25" s="14">
        <f>SUBTOTAL(9,D23:D23)</f>
        <v>350</v>
      </c>
      <c r="E25" s="15"/>
      <c r="F25" s="15"/>
      <c r="G25" s="15"/>
      <c r="H25" s="16"/>
      <c r="I25" s="17"/>
    </row>
    <row r="26" spans="1:9" outlineLevel="3" x14ac:dyDescent="0.3">
      <c r="A26" s="12" t="s">
        <v>131</v>
      </c>
      <c r="B26" s="13" t="s">
        <v>132</v>
      </c>
      <c r="C26" s="13" t="s">
        <v>133</v>
      </c>
      <c r="D26" s="14">
        <v>2500</v>
      </c>
      <c r="E26" s="15" t="s">
        <v>134</v>
      </c>
      <c r="F26" s="15" t="s">
        <v>121</v>
      </c>
      <c r="G26" s="15">
        <v>26</v>
      </c>
      <c r="H26" s="16">
        <v>43355</v>
      </c>
      <c r="I26" s="17">
        <v>43355</v>
      </c>
    </row>
    <row r="27" spans="1:9" outlineLevel="3" x14ac:dyDescent="0.3">
      <c r="A27" s="12" t="s">
        <v>162</v>
      </c>
      <c r="B27" s="13" t="s">
        <v>163</v>
      </c>
      <c r="C27" s="13" t="s">
        <v>133</v>
      </c>
      <c r="D27" s="14">
        <v>1500</v>
      </c>
      <c r="E27" s="15" t="s">
        <v>164</v>
      </c>
      <c r="F27" s="15" t="s">
        <v>114</v>
      </c>
      <c r="G27" s="15">
        <v>23</v>
      </c>
      <c r="H27" s="16">
        <v>43426</v>
      </c>
      <c r="I27" s="17">
        <v>43426</v>
      </c>
    </row>
    <row r="28" spans="1:9" outlineLevel="3" x14ac:dyDescent="0.3">
      <c r="A28" s="12" t="s">
        <v>168</v>
      </c>
      <c r="B28" s="13" t="s">
        <v>169</v>
      </c>
      <c r="C28" s="13" t="s">
        <v>133</v>
      </c>
      <c r="D28" s="14">
        <v>1000</v>
      </c>
      <c r="E28" s="15" t="s">
        <v>170</v>
      </c>
      <c r="F28" s="15" t="s">
        <v>121</v>
      </c>
      <c r="G28" s="15">
        <v>27</v>
      </c>
      <c r="H28" s="16">
        <v>43428</v>
      </c>
      <c r="I28" s="17">
        <v>43430</v>
      </c>
    </row>
    <row r="29" spans="1:9" s="56" customFormat="1" outlineLevel="2" x14ac:dyDescent="0.3">
      <c r="A29" s="12"/>
      <c r="B29" s="13"/>
      <c r="C29" s="65" t="s">
        <v>295</v>
      </c>
      <c r="D29" s="14"/>
      <c r="E29" s="15"/>
      <c r="F29" s="15"/>
      <c r="G29" s="15">
        <f>SUBTOTAL(5,G26:G28)</f>
        <v>23</v>
      </c>
      <c r="H29" s="16"/>
      <c r="I29" s="17"/>
    </row>
    <row r="30" spans="1:9" s="56" customFormat="1" outlineLevel="1" x14ac:dyDescent="0.3">
      <c r="A30" s="12"/>
      <c r="B30" s="13"/>
      <c r="C30" s="65" t="s">
        <v>288</v>
      </c>
      <c r="D30" s="14">
        <f>SUBTOTAL(9,D26:D28)</f>
        <v>5000</v>
      </c>
      <c r="E30" s="15"/>
      <c r="F30" s="15"/>
      <c r="G30" s="15"/>
      <c r="H30" s="16"/>
      <c r="I30" s="17"/>
    </row>
    <row r="31" spans="1:9" outlineLevel="3" x14ac:dyDescent="0.3">
      <c r="A31" s="12" t="s">
        <v>110</v>
      </c>
      <c r="B31" s="13" t="s">
        <v>111</v>
      </c>
      <c r="C31" s="13" t="s">
        <v>112</v>
      </c>
      <c r="D31" s="14">
        <v>1000</v>
      </c>
      <c r="E31" s="15" t="s">
        <v>113</v>
      </c>
      <c r="F31" s="15" t="s">
        <v>114</v>
      </c>
      <c r="G31" s="15">
        <v>32</v>
      </c>
      <c r="H31" s="16">
        <v>43374</v>
      </c>
      <c r="I31" s="17">
        <v>43376</v>
      </c>
    </row>
    <row r="32" spans="1:9" ht="17.25" outlineLevel="3" thickBot="1" x14ac:dyDescent="0.35">
      <c r="A32" s="18" t="s">
        <v>115</v>
      </c>
      <c r="B32" s="19" t="s">
        <v>116</v>
      </c>
      <c r="C32" s="19" t="s">
        <v>112</v>
      </c>
      <c r="D32" s="20">
        <v>1500</v>
      </c>
      <c r="E32" s="21" t="s">
        <v>117</v>
      </c>
      <c r="F32" s="21" t="s">
        <v>114</v>
      </c>
      <c r="G32" s="21">
        <v>17</v>
      </c>
      <c r="H32" s="22">
        <v>43376</v>
      </c>
      <c r="I32" s="23">
        <v>43382</v>
      </c>
    </row>
    <row r="33" spans="1:9" s="56" customFormat="1" outlineLevel="2" x14ac:dyDescent="0.3">
      <c r="A33" s="5"/>
      <c r="B33" s="66"/>
      <c r="C33" s="69" t="s">
        <v>296</v>
      </c>
      <c r="D33" s="67"/>
      <c r="E33" s="5"/>
      <c r="F33" s="5"/>
      <c r="G33" s="5">
        <f>SUBTOTAL(5,G31:G32)</f>
        <v>17</v>
      </c>
      <c r="H33" s="68"/>
      <c r="I33" s="68"/>
    </row>
    <row r="34" spans="1:9" s="56" customFormat="1" outlineLevel="1" x14ac:dyDescent="0.3">
      <c r="A34" s="5"/>
      <c r="B34" s="66"/>
      <c r="C34" s="69" t="s">
        <v>289</v>
      </c>
      <c r="D34" s="67">
        <f>SUBTOTAL(9,D31:D32)</f>
        <v>2500</v>
      </c>
      <c r="E34" s="5"/>
      <c r="F34" s="5"/>
      <c r="G34" s="5"/>
      <c r="H34" s="68"/>
      <c r="I34" s="68"/>
    </row>
    <row r="35" spans="1:9" s="56" customFormat="1" x14ac:dyDescent="0.3">
      <c r="A35" s="5"/>
      <c r="B35" s="66"/>
      <c r="C35" s="69" t="s">
        <v>297</v>
      </c>
      <c r="D35" s="67"/>
      <c r="E35" s="5"/>
      <c r="F35" s="5"/>
      <c r="G35" s="5">
        <f>SUBTOTAL(5,G4:G32)</f>
        <v>14</v>
      </c>
      <c r="H35" s="68"/>
      <c r="I35" s="68"/>
    </row>
    <row r="36" spans="1:9" s="56" customFormat="1" x14ac:dyDescent="0.3">
      <c r="A36" s="5"/>
      <c r="B36" s="66"/>
      <c r="C36" s="69" t="s">
        <v>290</v>
      </c>
      <c r="D36" s="67">
        <f>SUBTOTAL(9,D4:D32)</f>
        <v>17000</v>
      </c>
      <c r="E36" s="5"/>
      <c r="F36" s="5"/>
      <c r="G36" s="5"/>
      <c r="H36" s="68"/>
      <c r="I36" s="68"/>
    </row>
  </sheetData>
  <sortState ref="A4:I22">
    <sortCondition ref="C3"/>
  </sortState>
  <mergeCells count="1">
    <mergeCell ref="A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2"/>
  <sheetViews>
    <sheetView zoomScaleNormal="100" workbookViewId="0">
      <selection activeCell="M7" sqref="M7"/>
    </sheetView>
  </sheetViews>
  <sheetFormatPr defaultRowHeight="16.5" x14ac:dyDescent="0.3"/>
  <cols>
    <col min="1" max="1" width="2.625" customWidth="1"/>
    <col min="2" max="2" width="13.75" bestFit="1" customWidth="1"/>
    <col min="3" max="9" width="11" customWidth="1"/>
  </cols>
  <sheetData>
    <row r="1" spans="2:9" ht="31.5" x14ac:dyDescent="0.3">
      <c r="B1" s="74" t="s">
        <v>174</v>
      </c>
      <c r="C1" s="74"/>
      <c r="D1" s="74"/>
      <c r="E1" s="74"/>
      <c r="F1" s="74"/>
      <c r="G1" s="74"/>
      <c r="H1" s="74"/>
      <c r="I1" s="74"/>
    </row>
    <row r="2" spans="2:9" ht="17.25" thickBot="1" x14ac:dyDescent="0.35">
      <c r="H2" s="75">
        <v>44559</v>
      </c>
      <c r="I2" s="75"/>
    </row>
    <row r="3" spans="2:9" ht="17.25" thickBot="1" x14ac:dyDescent="0.35">
      <c r="B3" s="38" t="s">
        <v>175</v>
      </c>
      <c r="C3" s="39" t="s">
        <v>176</v>
      </c>
      <c r="D3" s="39" t="s">
        <v>177</v>
      </c>
      <c r="E3" s="39" t="s">
        <v>178</v>
      </c>
      <c r="F3" s="39" t="s">
        <v>179</v>
      </c>
      <c r="G3" s="39" t="s">
        <v>180</v>
      </c>
      <c r="H3" s="39" t="s">
        <v>181</v>
      </c>
      <c r="I3" s="40" t="s">
        <v>182</v>
      </c>
    </row>
    <row r="4" spans="2:9" ht="17.25" thickTop="1" x14ac:dyDescent="0.3">
      <c r="B4" s="34" t="s">
        <v>275</v>
      </c>
      <c r="C4" s="35">
        <v>123500</v>
      </c>
      <c r="D4" s="36">
        <f>C4*$C$12</f>
        <v>51870</v>
      </c>
      <c r="E4" s="36">
        <f>C4-D4</f>
        <v>71630</v>
      </c>
      <c r="F4" s="41">
        <v>6000</v>
      </c>
      <c r="G4" s="36">
        <f>E4-F4</f>
        <v>65630</v>
      </c>
      <c r="H4" s="36">
        <f>G4*$C$10</f>
        <v>15751.199999999999</v>
      </c>
      <c r="I4" s="37">
        <f>ROUND(G4-H4,-2)</f>
        <v>49900</v>
      </c>
    </row>
    <row r="5" spans="2:9" x14ac:dyDescent="0.3">
      <c r="B5" s="34" t="s">
        <v>298</v>
      </c>
      <c r="C5" s="24">
        <f>C4*(1+$C$11)</f>
        <v>138653.38475471697</v>
      </c>
      <c r="D5" s="25">
        <f t="shared" ref="D5:D8" si="0">C5*$C$12</f>
        <v>58234.421596981127</v>
      </c>
      <c r="E5" s="25">
        <f t="shared" ref="E5:E8" si="1">C5-D5</f>
        <v>80418.963157735852</v>
      </c>
      <c r="F5" s="42">
        <v>6000</v>
      </c>
      <c r="G5" s="25">
        <f t="shared" ref="G5:G8" si="2">E5-F5</f>
        <v>74418.963157735852</v>
      </c>
      <c r="H5" s="25">
        <f t="shared" ref="H5:H8" si="3">G5*$C$10</f>
        <v>17860.551157856604</v>
      </c>
      <c r="I5" s="29">
        <f t="shared" ref="I5:I8" si="4">ROUND(G5-H5,-2)</f>
        <v>56600</v>
      </c>
    </row>
    <row r="6" spans="2:9" x14ac:dyDescent="0.3">
      <c r="B6" s="34" t="s">
        <v>299</v>
      </c>
      <c r="C6" s="24">
        <f t="shared" ref="C6:C8" si="5">C5*(1+$C$11)</f>
        <v>155666.08181327596</v>
      </c>
      <c r="D6" s="25">
        <f t="shared" si="0"/>
        <v>65379.754361575899</v>
      </c>
      <c r="E6" s="25">
        <f t="shared" si="1"/>
        <v>90286.327451700054</v>
      </c>
      <c r="F6" s="42">
        <v>6000</v>
      </c>
      <c r="G6" s="25">
        <f t="shared" si="2"/>
        <v>84286.327451700054</v>
      </c>
      <c r="H6" s="25">
        <f t="shared" si="3"/>
        <v>20228.718588408014</v>
      </c>
      <c r="I6" s="29">
        <f t="shared" si="4"/>
        <v>64100</v>
      </c>
    </row>
    <row r="7" spans="2:9" x14ac:dyDescent="0.3">
      <c r="B7" s="34" t="s">
        <v>300</v>
      </c>
      <c r="C7" s="24">
        <f t="shared" si="5"/>
        <v>174766.22781308019</v>
      </c>
      <c r="D7" s="25">
        <f t="shared" si="0"/>
        <v>73401.815681493681</v>
      </c>
      <c r="E7" s="25">
        <f t="shared" si="1"/>
        <v>101364.4121315865</v>
      </c>
      <c r="F7" s="42">
        <v>6000</v>
      </c>
      <c r="G7" s="25">
        <f t="shared" si="2"/>
        <v>95364.412131586505</v>
      </c>
      <c r="H7" s="25">
        <f t="shared" si="3"/>
        <v>22887.458911580761</v>
      </c>
      <c r="I7" s="29">
        <f t="shared" si="4"/>
        <v>72500</v>
      </c>
    </row>
    <row r="8" spans="2:9" ht="17.25" thickBot="1" x14ac:dyDescent="0.35">
      <c r="B8" s="34" t="s">
        <v>301</v>
      </c>
      <c r="C8" s="26">
        <f t="shared" si="5"/>
        <v>196209.95163641722</v>
      </c>
      <c r="D8" s="43">
        <f t="shared" si="0"/>
        <v>82408.179687295225</v>
      </c>
      <c r="E8" s="43">
        <f t="shared" si="1"/>
        <v>113801.77194912199</v>
      </c>
      <c r="F8" s="44">
        <v>6000</v>
      </c>
      <c r="G8" s="43">
        <f t="shared" si="2"/>
        <v>107801.77194912199</v>
      </c>
      <c r="H8" s="43">
        <f t="shared" si="3"/>
        <v>25872.425267789276</v>
      </c>
      <c r="I8" s="45">
        <f t="shared" si="4"/>
        <v>81900</v>
      </c>
    </row>
    <row r="9" spans="2:9" ht="18" thickTop="1" thickBot="1" x14ac:dyDescent="0.35">
      <c r="B9" s="46" t="s">
        <v>183</v>
      </c>
      <c r="C9" s="47">
        <f>AVERAGE(C4:C8)</f>
        <v>157759.12920349807</v>
      </c>
      <c r="D9" s="47">
        <f t="shared" ref="D9:I9" si="6">AVERAGE(D4:D8)</f>
        <v>66258.834265469195</v>
      </c>
      <c r="E9" s="47">
        <f t="shared" si="6"/>
        <v>91500.294938028877</v>
      </c>
      <c r="F9" s="48">
        <f t="shared" si="6"/>
        <v>6000</v>
      </c>
      <c r="G9" s="47">
        <f t="shared" si="6"/>
        <v>85500.294938028877</v>
      </c>
      <c r="H9" s="47">
        <f t="shared" si="6"/>
        <v>20520.070785126933</v>
      </c>
      <c r="I9" s="49">
        <f t="shared" si="6"/>
        <v>65000</v>
      </c>
    </row>
    <row r="10" spans="2:9" x14ac:dyDescent="0.3">
      <c r="B10" s="27" t="s">
        <v>202</v>
      </c>
      <c r="C10" s="31">
        <v>0.24</v>
      </c>
    </row>
    <row r="11" spans="2:9" x14ac:dyDescent="0.3">
      <c r="B11" s="28" t="s">
        <v>203</v>
      </c>
      <c r="C11" s="32">
        <v>0.1226994716981132</v>
      </c>
    </row>
    <row r="12" spans="2:9" ht="17.25" thickBot="1" x14ac:dyDescent="0.35">
      <c r="B12" s="30" t="s">
        <v>184</v>
      </c>
      <c r="C12" s="33">
        <v>0.42</v>
      </c>
    </row>
  </sheetData>
  <mergeCells count="2">
    <mergeCell ref="H2:I2"/>
    <mergeCell ref="B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0"/>
  <sheetViews>
    <sheetView zoomScaleNormal="100" workbookViewId="0">
      <selection sqref="A1:F1"/>
    </sheetView>
  </sheetViews>
  <sheetFormatPr defaultRowHeight="16.5" x14ac:dyDescent="0.3"/>
  <cols>
    <col min="1" max="4" width="10.625" customWidth="1"/>
    <col min="5" max="6" width="11.875" bestFit="1" customWidth="1"/>
  </cols>
  <sheetData>
    <row r="1" spans="1:6" ht="31.5" x14ac:dyDescent="0.3">
      <c r="A1" s="74" t="s">
        <v>276</v>
      </c>
      <c r="B1" s="74"/>
      <c r="C1" s="74"/>
      <c r="D1" s="74"/>
      <c r="E1" s="74"/>
      <c r="F1" s="74"/>
    </row>
    <row r="3" spans="1:6" x14ac:dyDescent="0.3">
      <c r="A3" s="1" t="s">
        <v>185</v>
      </c>
      <c r="B3" s="1" t="s">
        <v>22</v>
      </c>
      <c r="C3" s="1" t="s">
        <v>186</v>
      </c>
      <c r="D3" s="1" t="s">
        <v>187</v>
      </c>
      <c r="E3" s="1" t="s">
        <v>188</v>
      </c>
      <c r="F3" s="1" t="s">
        <v>189</v>
      </c>
    </row>
    <row r="4" spans="1:6" x14ac:dyDescent="0.3">
      <c r="A4" s="1" t="s">
        <v>190</v>
      </c>
      <c r="B4" s="2">
        <v>37000</v>
      </c>
      <c r="C4" s="2">
        <v>100</v>
      </c>
      <c r="D4" s="71">
        <v>0.03</v>
      </c>
      <c r="E4" s="2">
        <v>3700000</v>
      </c>
      <c r="F4" s="2">
        <v>4440000</v>
      </c>
    </row>
    <row r="5" spans="1:6" x14ac:dyDescent="0.3">
      <c r="A5" s="1" t="s">
        <v>191</v>
      </c>
      <c r="B5" s="2">
        <v>4500</v>
      </c>
      <c r="C5" s="2">
        <v>1200</v>
      </c>
      <c r="D5" s="71">
        <v>0.02</v>
      </c>
      <c r="E5" s="2">
        <v>5400000</v>
      </c>
      <c r="F5" s="2">
        <v>6480000</v>
      </c>
    </row>
    <row r="6" spans="1:6" x14ac:dyDescent="0.3">
      <c r="A6" s="1" t="s">
        <v>192</v>
      </c>
      <c r="B6" s="2">
        <v>6500</v>
      </c>
      <c r="C6" s="2">
        <v>2200</v>
      </c>
      <c r="D6" s="71">
        <v>0.05</v>
      </c>
      <c r="E6" s="2">
        <v>14300000</v>
      </c>
      <c r="F6" s="2">
        <v>17160000</v>
      </c>
    </row>
    <row r="7" spans="1:6" x14ac:dyDescent="0.3">
      <c r="A7" s="1" t="s">
        <v>193</v>
      </c>
      <c r="B7" s="2">
        <v>32500</v>
      </c>
      <c r="C7" s="2">
        <v>450</v>
      </c>
      <c r="D7" s="71">
        <v>7.0000000000000007E-2</v>
      </c>
      <c r="E7" s="2">
        <v>14625000</v>
      </c>
      <c r="F7" s="2">
        <v>17550000</v>
      </c>
    </row>
    <row r="8" spans="1:6" x14ac:dyDescent="0.3">
      <c r="A8" s="1" t="s">
        <v>194</v>
      </c>
      <c r="B8" s="2">
        <v>6600</v>
      </c>
      <c r="C8" s="2">
        <v>660</v>
      </c>
      <c r="D8" s="71">
        <v>0.05</v>
      </c>
      <c r="E8" s="2">
        <v>4356000</v>
      </c>
      <c r="F8" s="2">
        <v>5227200</v>
      </c>
    </row>
    <row r="9" spans="1:6" x14ac:dyDescent="0.3">
      <c r="A9" s="1" t="s">
        <v>195</v>
      </c>
      <c r="B9" s="2">
        <v>78000</v>
      </c>
      <c r="C9" s="2">
        <v>89</v>
      </c>
      <c r="D9" s="71">
        <v>0.05</v>
      </c>
      <c r="E9" s="2">
        <v>6942000</v>
      </c>
      <c r="F9" s="2">
        <v>8330400</v>
      </c>
    </row>
    <row r="10" spans="1:6" x14ac:dyDescent="0.3">
      <c r="A10" s="76" t="s">
        <v>196</v>
      </c>
      <c r="B10" s="77"/>
      <c r="C10" s="77"/>
      <c r="D10" s="78"/>
      <c r="E10" s="70">
        <f>SUM(E4:E9)</f>
        <v>49323000</v>
      </c>
      <c r="F10" s="70">
        <f>SUM(F4:F9)</f>
        <v>59187600</v>
      </c>
    </row>
  </sheetData>
  <mergeCells count="2">
    <mergeCell ref="A1:F1"/>
    <mergeCell ref="A10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합계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zoomScaleNormal="100" workbookViewId="0">
      <selection sqref="A1:F1"/>
    </sheetView>
  </sheetViews>
  <sheetFormatPr defaultRowHeight="16.5" x14ac:dyDescent="0.3"/>
  <cols>
    <col min="1" max="1" width="12.75" bestFit="1" customWidth="1"/>
    <col min="2" max="6" width="15.625" customWidth="1"/>
  </cols>
  <sheetData>
    <row r="1" spans="1:6" ht="31.5" x14ac:dyDescent="0.3">
      <c r="A1" s="74" t="s">
        <v>197</v>
      </c>
      <c r="B1" s="74"/>
      <c r="C1" s="74"/>
      <c r="D1" s="74"/>
      <c r="E1" s="74"/>
      <c r="F1" s="74"/>
    </row>
    <row r="3" spans="1:6" x14ac:dyDescent="0.3">
      <c r="E3" t="s">
        <v>198</v>
      </c>
      <c r="F3" t="s">
        <v>199</v>
      </c>
    </row>
    <row r="4" spans="1:6" x14ac:dyDescent="0.3">
      <c r="A4" s="1" t="s">
        <v>20</v>
      </c>
      <c r="B4" s="1" t="s">
        <v>281</v>
      </c>
      <c r="C4" s="1" t="s">
        <v>280</v>
      </c>
      <c r="D4" s="1" t="s">
        <v>279</v>
      </c>
      <c r="E4" s="1" t="s">
        <v>277</v>
      </c>
      <c r="F4" s="1" t="s">
        <v>278</v>
      </c>
    </row>
    <row r="5" spans="1:6" x14ac:dyDescent="0.3">
      <c r="A5" s="1" t="s">
        <v>200</v>
      </c>
      <c r="B5" s="50">
        <v>3550</v>
      </c>
      <c r="C5" s="50">
        <v>5626</v>
      </c>
      <c r="D5" s="50">
        <v>5606</v>
      </c>
      <c r="E5" s="50">
        <v>4695</v>
      </c>
      <c r="F5" s="50">
        <v>5291</v>
      </c>
    </row>
    <row r="6" spans="1:6" x14ac:dyDescent="0.3">
      <c r="A6" s="1" t="s">
        <v>201</v>
      </c>
      <c r="B6" s="51">
        <v>132.4</v>
      </c>
      <c r="C6" s="51">
        <v>128.1</v>
      </c>
      <c r="D6" s="51">
        <v>119.6</v>
      </c>
      <c r="E6" s="51">
        <v>106.5</v>
      </c>
      <c r="F6" s="51">
        <v>88.9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윤기철</dc:creator>
  <cp:lastModifiedBy>gaincom01</cp:lastModifiedBy>
  <dcterms:created xsi:type="dcterms:W3CDTF">2011-12-01T00:34:43Z</dcterms:created>
  <dcterms:modified xsi:type="dcterms:W3CDTF">2020-10-10T03:00:53Z</dcterms:modified>
</cp:coreProperties>
</file>